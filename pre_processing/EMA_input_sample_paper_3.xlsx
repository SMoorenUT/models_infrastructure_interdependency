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Ubuntu\home\moorens\code\pre_processing\"/>
    </mc:Choice>
  </mc:AlternateContent>
  <xr:revisionPtr revIDLastSave="0" documentId="13_ncr:1_{FA04FCB9-AE57-4BF7-A6E7-15D9560F865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4" i="1" l="1"/>
  <c r="J44" i="1"/>
  <c r="J43" i="1"/>
  <c r="I43" i="1"/>
  <c r="J42" i="1"/>
  <c r="J41" i="1"/>
  <c r="I42" i="1"/>
  <c r="I41" i="1"/>
</calcChain>
</file>

<file path=xl/sharedStrings.xml><?xml version="1.0" encoding="utf-8"?>
<sst xmlns="http://schemas.openxmlformats.org/spreadsheetml/2006/main" count="232" uniqueCount="188">
  <si>
    <t>variable_human_readable</t>
  </si>
  <si>
    <t>var</t>
  </si>
  <si>
    <t>elasticity_min</t>
  </si>
  <si>
    <t>elasticity_max</t>
  </si>
  <si>
    <t>2030_min</t>
  </si>
  <si>
    <t>2030_max</t>
  </si>
  <si>
    <t>2050_min</t>
  </si>
  <si>
    <t>2050_max</t>
  </si>
  <si>
    <t>transport.average_time.star</t>
  </si>
  <si>
    <t>cost_per_kilometer</t>
  </si>
  <si>
    <t>higher_education_level_share</t>
  </si>
  <si>
    <t>[0.25, 0.0]</t>
  </si>
  <si>
    <t>[0.75, 0.57]</t>
  </si>
  <si>
    <t>total_vehicles</t>
  </si>
  <si>
    <t>people.count.index</t>
  </si>
  <si>
    <t>jobs.count.index</t>
  </si>
  <si>
    <t>Average working day</t>
  </si>
  <si>
    <t>average_number_working_days</t>
  </si>
  <si>
    <t>Average remote working days</t>
  </si>
  <si>
    <t>average_number_remote_working_days</t>
  </si>
  <si>
    <t>percentage_of_remote_workers</t>
  </si>
  <si>
    <t>Road lane-kilometer extension</t>
  </si>
  <si>
    <t>transport.shortest_path_lane_length</t>
  </si>
  <si>
    <t>world_trade_volume</t>
  </si>
  <si>
    <t>share_service_sector_gdp</t>
  </si>
  <si>
    <t>share_construction_sector_gdp</t>
  </si>
  <si>
    <t>share_agriculture_sector_gdp</t>
  </si>
  <si>
    <t>share_elderly_65_plus</t>
  </si>
  <si>
    <t>Higher education level (%)</t>
  </si>
  <si>
    <t>Costs per kilometer (index)</t>
  </si>
  <si>
    <t>GDP (Disposable income) - [passenger, cargo domestic] (index)</t>
  </si>
  <si>
    <t>Population (index)</t>
  </si>
  <si>
    <t>(Commuting) Jobs (index)</t>
  </si>
  <si>
    <t>Remote workers (%)</t>
  </si>
  <si>
    <t>World trade index (index)</t>
  </si>
  <si>
    <t>Share GDP service sector (%)</t>
  </si>
  <si>
    <t>Share GDP construction sector (%)</t>
  </si>
  <si>
    <t>Share GDP agriculture sector (%)</t>
  </si>
  <si>
    <t>Share of elderly (65+) (%)</t>
  </si>
  <si>
    <t>Car ownership (milion)</t>
  </si>
  <si>
    <t>road_passenger</t>
  </si>
  <si>
    <t>road_cargo_domestic</t>
  </si>
  <si>
    <t>road_cargo_international</t>
  </si>
  <si>
    <t>Generalized journey time</t>
  </si>
  <si>
    <t>Train ticket price</t>
  </si>
  <si>
    <t>rail_passenger</t>
  </si>
  <si>
    <t>Train punctuality</t>
  </si>
  <si>
    <t>transport.generalized_journey_time</t>
  </si>
  <si>
    <t>train_ticket_price</t>
  </si>
  <si>
    <t>train_punctuality</t>
  </si>
  <si>
    <t>Electricity price per kWh</t>
  </si>
  <si>
    <t>electricity_price</t>
  </si>
  <si>
    <t>cef_f_truck_medium</t>
  </si>
  <si>
    <t>cef_f_tractor_light</t>
  </si>
  <si>
    <t>ecf_f_truck_medium</t>
  </si>
  <si>
    <t>ecf_f_tractor_light</t>
  </si>
  <si>
    <t>passenger_train_capacity</t>
  </si>
  <si>
    <t>Passenger train frequency</t>
  </si>
  <si>
    <t>electricity_share_freight_rail</t>
  </si>
  <si>
    <t>diesel_share_freight_rail</t>
  </si>
  <si>
    <t>h2_share_freight_rail</t>
  </si>
  <si>
    <t>electricity_share_passenger_road</t>
  </si>
  <si>
    <t>diesel_share_freight_road</t>
  </si>
  <si>
    <t>h2_share_freight_road</t>
  </si>
  <si>
    <t>electricity_share_freight_waterway</t>
  </si>
  <si>
    <t>diesel_share_freight_waterway</t>
  </si>
  <si>
    <t>h2_share_freight_waterway</t>
  </si>
  <si>
    <t>electricity_share_passenger_rail</t>
  </si>
  <si>
    <t>h2_share_passenger_rail</t>
  </si>
  <si>
    <t>h2_share_passenger_road</t>
  </si>
  <si>
    <t>petrol_share_passenger_road</t>
  </si>
  <si>
    <t>Electricity share freight rail</t>
  </si>
  <si>
    <t>Diesel share freight rail</t>
  </si>
  <si>
    <t>H2 share freight rail</t>
  </si>
  <si>
    <t>Electricity share passenger road</t>
  </si>
  <si>
    <t>Diesel share freight road</t>
  </si>
  <si>
    <t>H2 share freight road</t>
  </si>
  <si>
    <t>Electricity share freight waterway</t>
  </si>
  <si>
    <t>Diesel share freight waterway</t>
  </si>
  <si>
    <t>H2 share freight waterway</t>
  </si>
  <si>
    <t>Electricity share passenger rail</t>
  </si>
  <si>
    <t>H2 share passenger rail</t>
  </si>
  <si>
    <t>H2 share passenger road</t>
  </si>
  <si>
    <t>Petrol share passenger road</t>
  </si>
  <si>
    <t>Electricity share freight road</t>
  </si>
  <si>
    <t>passenger_train_frequency_change</t>
  </si>
  <si>
    <t>rail_cargo_domestic</t>
  </si>
  <si>
    <t>rail_cargo_international</t>
  </si>
  <si>
    <t>waterway_cargo</t>
  </si>
  <si>
    <t>waterway_cargo_international</t>
  </si>
  <si>
    <t>Consumer energy price</t>
  </si>
  <si>
    <t>consumer_energy_price</t>
  </si>
  <si>
    <t>Waterway load factor index</t>
  </si>
  <si>
    <t>Travel time road</t>
  </si>
  <si>
    <t>Travel time railway</t>
  </si>
  <si>
    <t>Travel time waterway</t>
  </si>
  <si>
    <t>transport.cargo_average_time.star</t>
  </si>
  <si>
    <t>Road load factor index</t>
  </si>
  <si>
    <t>road_load_factor_index</t>
  </si>
  <si>
    <t>ecf_f_tractor_heavy</t>
  </si>
  <si>
    <t>CO2 emission factor truck medium</t>
  </si>
  <si>
    <t>CO2 emission factor tractor light</t>
  </si>
  <si>
    <t>CO2 emission factor tractor heavy</t>
  </si>
  <si>
    <t>Energy consumption factor truck medium</t>
  </si>
  <si>
    <t>Energy consumption factor tractor light</t>
  </si>
  <si>
    <t>Energy consumption factor tractor heavy</t>
  </si>
  <si>
    <t>Diesl share passenger road</t>
  </si>
  <si>
    <t>diesel_share_passenger_road</t>
  </si>
  <si>
    <t>CO2 emission factor Rhine-Herne Canal vessel</t>
  </si>
  <si>
    <t>CO2 emission Large Rhine vessel</t>
  </si>
  <si>
    <t>Energy consumption factor Rhine-Herne canal vessel</t>
  </si>
  <si>
    <t>Energy consumption factor Large Rhine vessel</t>
  </si>
  <si>
    <t>cef_f_rhc</t>
  </si>
  <si>
    <t>cef_f_lr</t>
  </si>
  <si>
    <t>ecf_f_rhc</t>
  </si>
  <si>
    <t>ecf_f_lr</t>
  </si>
  <si>
    <t>CO2 emission factor train medium length</t>
  </si>
  <si>
    <t>Energy consumption factor train medium length</t>
  </si>
  <si>
    <t>cef_f_train_medium_length</t>
  </si>
  <si>
    <t>ecf_f_train_medium_length</t>
  </si>
  <si>
    <t>CO2 emission factor passenger train intercity</t>
  </si>
  <si>
    <t>cef_p_ic</t>
  </si>
  <si>
    <t>CO2 emission factor passenger train stoptrein</t>
  </si>
  <si>
    <t>cef_p_st</t>
  </si>
  <si>
    <t>Energy consumption factor passenger train intercity</t>
  </si>
  <si>
    <t>Energy consumption factor passenger train stoptrein</t>
  </si>
  <si>
    <t>ecf_p_ic</t>
  </si>
  <si>
    <t>ecf_p_st</t>
  </si>
  <si>
    <t>CO2 emission factor passenger car</t>
  </si>
  <si>
    <t>cef_f_tractor_heavy</t>
  </si>
  <si>
    <t>cef_f_passenger_car</t>
  </si>
  <si>
    <t>ecf_f_passenger_car</t>
  </si>
  <si>
    <t>Energy consumption factor passenger car</t>
  </si>
  <si>
    <t>Train capacity passenger</t>
  </si>
  <si>
    <t>Load capacity train medium length</t>
  </si>
  <si>
    <t>load_capacity_train_medium_length</t>
  </si>
  <si>
    <t>Rail load factor index</t>
  </si>
  <si>
    <t>rail_load_factor_index</t>
  </si>
  <si>
    <t>waterway_load_factor_index</t>
  </si>
  <si>
    <t>res</t>
  </si>
  <si>
    <t>[-0.6, -0.1]</t>
  </si>
  <si>
    <t>[0.25, 0,75]</t>
  </si>
  <si>
    <t>[0.0, 0.57]</t>
  </si>
  <si>
    <t>[0.54, 0.74]</t>
  </si>
  <si>
    <t>[0.20, 0.45]</t>
  </si>
  <si>
    <t>[0.44, 0.84]</t>
  </si>
  <si>
    <t>[0.2, 0.60]</t>
  </si>
  <si>
    <t>[-1.26, 0]</t>
  </si>
  <si>
    <t>[0.6, 0.6]</t>
  </si>
  <si>
    <t>[0.223, 0.223]</t>
  </si>
  <si>
    <t>[-0.211, -0.211]</t>
  </si>
  <si>
    <t>[0.231, 0,231]</t>
  </si>
  <si>
    <t>[-0.284, -0.284]</t>
  </si>
  <si>
    <t>[0.27, 0.27]</t>
  </si>
  <si>
    <t>[0.57, 0.57]</t>
  </si>
  <si>
    <t>[-0.02, -0.02]</t>
  </si>
  <si>
    <t>[1.38, 1.38]</t>
  </si>
  <si>
    <t>[0.29, 0.29]</t>
  </si>
  <si>
    <t>[-1.51, -1.51]</t>
  </si>
  <si>
    <t>[-0.63, -0.63]</t>
  </si>
  <si>
    <t>[1.1, 1.1]</t>
  </si>
  <si>
    <t>[0.14, 0,14]</t>
  </si>
  <si>
    <t>[0.11, 0.11]</t>
  </si>
  <si>
    <t>[0.02, 0.02]</t>
  </si>
  <si>
    <t>[-1.1, -0.1]</t>
  </si>
  <si>
    <t>Fossil fuel price</t>
  </si>
  <si>
    <t>fossil_fuel_price</t>
  </si>
  <si>
    <t>[-0.17, -0.17]</t>
  </si>
  <si>
    <t>[0.22, 0.22]</t>
  </si>
  <si>
    <t>[0.06, 0.06]</t>
  </si>
  <si>
    <t>[0.41, 0.41]</t>
  </si>
  <si>
    <t>[-0.5, -0.1]</t>
  </si>
  <si>
    <t>[-0.3, -0.05]</t>
  </si>
  <si>
    <t>gdp</t>
  </si>
  <si>
    <t>2019</t>
  </si>
  <si>
    <t>share_train_medium_length</t>
  </si>
  <si>
    <t>rail_effective_load_factor</t>
  </si>
  <si>
    <t>_load_factor_change</t>
  </si>
  <si>
    <t>share_ic</t>
  </si>
  <si>
    <t>share_st</t>
  </si>
  <si>
    <t>Share intercity trains</t>
  </si>
  <si>
    <t>Share stoptrein (regional) trains</t>
  </si>
  <si>
    <t>Load factor change</t>
  </si>
  <si>
    <t>Rail effective load factor</t>
  </si>
  <si>
    <t>Share train medium length</t>
  </si>
  <si>
    <t>Energy source</t>
  </si>
  <si>
    <t>diesel</t>
  </si>
  <si>
    <t>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</si>
</sst>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,##0.000"/>
    <numFmt numFmtId="166" formatCode="#,##0.0000"/>
  </numFmts>
  <fonts count="1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ptos Narrow"/>
      <family val="2"/>
    </font>
    <font>
      <b/>
      <sz val="11"/>
      <color theme="1"/>
      <name val="Calibri"/>
      <family val="2"/>
      <scheme val="minor"/>
    </font>
    <font>
      <b/>
      <sz val="11"/>
      <name val="Aptos Narrow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4" fontId="2" fillId="0" borderId="1" xfId="0" applyNumberFormat="1" applyFont="1" applyBorder="1" applyAlignment="1">
      <alignment horizontal="right" wrapText="1"/>
    </xf>
    <xf numFmtId="3" fontId="2" fillId="0" borderId="1" xfId="0" applyNumberFormat="1" applyFont="1" applyBorder="1" applyAlignment="1">
      <alignment horizontal="left" wrapText="1"/>
    </xf>
    <xf numFmtId="3" fontId="3" fillId="0" borderId="1" xfId="0" applyNumberFormat="1" applyFont="1" applyBorder="1" applyAlignment="1">
      <alignment horizontal="right" wrapText="1"/>
    </xf>
    <xf numFmtId="3" fontId="2" fillId="0" borderId="1" xfId="0" applyNumberFormat="1" applyFont="1" applyBorder="1" applyAlignment="1">
      <alignment horizontal="right" wrapText="1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" fontId="3" fillId="0" borderId="1" xfId="0" applyNumberFormat="1" applyFont="1" applyBorder="1" applyAlignment="1">
      <alignment horizontal="right" wrapText="1"/>
    </xf>
    <xf numFmtId="3" fontId="3" fillId="0" borderId="1" xfId="0" applyNumberFormat="1" applyFont="1" applyBorder="1" applyAlignment="1">
      <alignment horizontal="right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 wrapText="1"/>
    </xf>
    <xf numFmtId="3" fontId="0" fillId="0" borderId="0" xfId="0" applyNumberFormat="1" applyAlignment="1">
      <alignment horizontal="right"/>
    </xf>
    <xf numFmtId="0" fontId="4" fillId="0" borderId="1" xfId="0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166" fontId="2" fillId="0" borderId="1" xfId="0" applyNumberFormat="1" applyFont="1" applyBorder="1" applyAlignment="1">
      <alignment horizontal="right"/>
    </xf>
    <xf numFmtId="166" fontId="2" fillId="0" borderId="1" xfId="0" applyNumberFormat="1" applyFont="1" applyBorder="1" applyAlignment="1">
      <alignment horizontal="right" wrapText="1"/>
    </xf>
    <xf numFmtId="164" fontId="3" fillId="0" borderId="1" xfId="0" applyNumberFormat="1" applyFont="1" applyBorder="1" applyAlignment="1">
      <alignment horizontal="right" wrapText="1"/>
    </xf>
    <xf numFmtId="0" fontId="2" fillId="0" borderId="1" xfId="1" applyNumberFormat="1" applyFont="1" applyBorder="1" applyAlignment="1">
      <alignment horizontal="right" wrapText="1"/>
    </xf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/>
    </xf>
    <xf numFmtId="4" fontId="7" fillId="0" borderId="1" xfId="0" applyNumberFormat="1" applyFont="1" applyBorder="1" applyAlignment="1">
      <alignment horizontal="left" wrapText="1"/>
    </xf>
    <xf numFmtId="3" fontId="7" fillId="0" borderId="1" xfId="0" applyNumberFormat="1" applyFont="1" applyBorder="1" applyAlignment="1">
      <alignment horizontal="left"/>
    </xf>
    <xf numFmtId="0" fontId="6" fillId="0" borderId="0" xfId="0" applyFont="1"/>
    <xf numFmtId="0" fontId="8" fillId="0" borderId="0" xfId="0" applyFont="1" applyAlignment="1">
      <alignment horizontal="center" wrapText="1"/>
    </xf>
    <xf numFmtId="0" fontId="0" fillId="0" borderId="0" xfId="0" applyAlignment="1">
      <alignment horizontal="left" wrapText="1"/>
    </xf>
    <xf numFmtId="0" fontId="9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left"/>
    </xf>
    <xf numFmtId="0" fontId="11" fillId="0" borderId="0" xfId="0" applyFont="1"/>
    <xf numFmtId="3" fontId="12" fillId="0" borderId="1" xfId="0" applyNumberFormat="1" applyFont="1" applyBorder="1" applyAlignment="1">
      <alignment horizontal="right"/>
    </xf>
    <xf numFmtId="0" fontId="0" fillId="0" borderId="0" xfId="0" applyAlignment="1">
      <alignment horizontal="right" wrapText="1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8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2" xfId="0" applyFont="1" applyBorder="1" applyAlignment="1">
      <alignment horizontal="center" wrapText="1"/>
    </xf>
    <xf numFmtId="0" fontId="0" fillId="0" borderId="2" xfId="0" applyBorder="1" applyAlignment="1">
      <alignment horizontal="left"/>
    </xf>
    <xf numFmtId="0" fontId="8" fillId="0" borderId="3" xfId="0" applyFont="1" applyBorder="1" applyAlignment="1">
      <alignment horizontal="center" wrapText="1"/>
    </xf>
    <xf numFmtId="0" fontId="0" fillId="0" borderId="3" xfId="0" applyBorder="1" applyAlignment="1">
      <alignment horizontal="left"/>
    </xf>
    <xf numFmtId="3" fontId="0" fillId="0" borderId="1" xfId="0" applyNumberFormat="1" applyBorder="1" applyAlignment="1">
      <alignment horizontal="right"/>
    </xf>
    <xf numFmtId="3" fontId="0" fillId="0" borderId="2" xfId="0" applyNumberFormat="1" applyBorder="1" applyAlignment="1">
      <alignment horizontal="right"/>
    </xf>
    <xf numFmtId="3" fontId="0" fillId="0" borderId="3" xfId="0" applyNumberFormat="1" applyBorder="1" applyAlignment="1">
      <alignment horizontal="right"/>
    </xf>
    <xf numFmtId="4" fontId="0" fillId="0" borderId="2" xfId="0" applyNumberFormat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3" fontId="0" fillId="2" borderId="3" xfId="0" applyNumberFormat="1" applyFill="1" applyBorder="1" applyAlignment="1">
      <alignment horizontal="right"/>
    </xf>
    <xf numFmtId="3" fontId="0" fillId="2" borderId="1" xfId="0" applyNumberFormat="1" applyFill="1" applyBorder="1" applyAlignment="1">
      <alignment horizontal="right"/>
    </xf>
    <xf numFmtId="3" fontId="0" fillId="2" borderId="2" xfId="0" applyNumberFormat="1" applyFill="1" applyBorder="1" applyAlignment="1">
      <alignment horizontal="right"/>
    </xf>
    <xf numFmtId="0" fontId="0" fillId="0" borderId="0" xfId="0" applyAlignment="1">
      <alignment horizontal="right"/>
    </xf>
    <xf numFmtId="3" fontId="12" fillId="0" borderId="1" xfId="0" applyNumberFormat="1" applyFont="1" applyBorder="1" applyAlignment="1">
      <alignment horizontal="right" wrapText="1"/>
    </xf>
    <xf numFmtId="49" fontId="7" fillId="0" borderId="1" xfId="0" applyNumberFormat="1" applyFont="1" applyBorder="1" applyAlignment="1">
      <alignment horizontal="left"/>
    </xf>
    <xf numFmtId="0" fontId="0" fillId="2" borderId="0" xfId="0" applyFill="1" applyAlignment="1">
      <alignment horizontal="left" wrapText="1"/>
    </xf>
    <xf numFmtId="0" fontId="0" fillId="2" borderId="0" xfId="0" applyFill="1" applyAlignment="1">
      <alignment horizontal="left"/>
    </xf>
  </cellXfs>
  <cellStyles count="2">
    <cellStyle name="Normal" xfId="0" builtinId="0"/>
    <cellStyle name="Percent" xfId="1" builtinId="5"/>
  </cellStyles>
  <dxfs count="14">
    <dxf>
      <alignment horizontal="lef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1" indent="0" justifyLastLine="0" shrinkToFit="0" readingOrder="0"/>
    </dxf>
    <dxf>
      <numFmt numFmtId="4" formatCode="#,##0.00"/>
      <alignment horizontal="right"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A38940-A445-4656-BC36-31727989504C}" name="Table1" displayName="Table1" ref="A1:R73" totalsRowShown="0" headerRowDxfId="13">
  <autoFilter ref="A1:R73" xr:uid="{6CA38940-A445-4656-BC36-31727989504C}"/>
  <tableColumns count="18">
    <tableColumn id="1" xr3:uid="{9A40127E-614C-4972-9AD8-B8A8401A87FA}" name="variable_human_readable" dataDxfId="12"/>
    <tableColumn id="2" xr3:uid="{F53B7404-F2CE-4041-93AA-5ED3CC78C92E}" name="var" dataDxfId="11"/>
    <tableColumn id="19" xr3:uid="{F335201D-BD03-4656-BEB1-A4D8B5EEEB2B}" name="Energy source" dataDxfId="0"/>
    <tableColumn id="3" xr3:uid="{90771630-4513-463E-92D1-E6C360844FE1}" name="elasticity_min" dataDxfId="10"/>
    <tableColumn id="4" xr3:uid="{C2BB4B10-2599-4F19-9C96-A9CDAE7A0787}" name="elasticity_max" dataDxfId="9"/>
    <tableColumn id="5" xr3:uid="{A383A808-E4A1-40EA-A300-775E329D8FC9}" name="2019" dataDxfId="8"/>
    <tableColumn id="6" xr3:uid="{C92C93C0-8F4F-437D-A7C5-FE57D9087140}" name="2030_min" dataDxfId="7"/>
    <tableColumn id="7" xr3:uid="{17FE2609-15D6-4E45-9A49-D29E950EDFD8}" name="2030_max" dataDxfId="6"/>
    <tableColumn id="8" xr3:uid="{4F8B8011-E9E0-490C-936E-00FA3669A516}" name="2050_min" dataDxfId="5"/>
    <tableColumn id="9" xr3:uid="{9C06C366-B90D-4CC7-9E56-02B092C136DD}" name="2050_max" dataDxfId="4"/>
    <tableColumn id="10" xr3:uid="{4CA24B60-DD43-4E47-B215-F12229FB0C96}" name="road_passenger" dataDxfId="3"/>
    <tableColumn id="11" xr3:uid="{94FABBC0-A053-4CA2-8868-7B5F5563DF99}" name="road_cargo_domestic" dataDxfId="2"/>
    <tableColumn id="12" xr3:uid="{BD5C43C3-86B9-4A18-B4C0-756BD68A9C04}" name="road_cargo_international" dataDxfId="1"/>
    <tableColumn id="13" xr3:uid="{7AE944EC-DE00-40F1-B46F-CB7A9426F99F}" name="rail_passenger"/>
    <tableColumn id="14" xr3:uid="{4ED8E623-F528-4575-8060-C86F59CB0E74}" name="rail_cargo_domestic"/>
    <tableColumn id="17" xr3:uid="{CE444FEC-E210-4D5B-AB0F-B8F03EE96C96}" name="rail_cargo_international"/>
    <tableColumn id="15" xr3:uid="{F93F604A-7D2A-43C3-B160-8442BFB31C63}" name="waterway_cargo"/>
    <tableColumn id="18" xr3:uid="{BE770C20-07E7-4BA9-BDDF-563DEE6869B0}" name="waterway_cargo_internation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73"/>
  <sheetViews>
    <sheetView tabSelected="1" workbookViewId="0">
      <pane xSplit="1" ySplit="1" topLeftCell="B22" activePane="bottomRight" state="frozen"/>
      <selection pane="topRight" activeCell="B1" sqref="B1"/>
      <selection pane="bottomLeft" activeCell="A2" sqref="A2"/>
      <selection pane="bottomRight" activeCell="B41" sqref="B41"/>
    </sheetView>
  </sheetViews>
  <sheetFormatPr defaultRowHeight="15" x14ac:dyDescent="0.25"/>
  <cols>
    <col min="1" max="1" width="49.42578125" style="13" customWidth="1"/>
    <col min="2" max="3" width="36.85546875" style="14" customWidth="1"/>
    <col min="4" max="4" width="15.7109375" style="15" hidden="1" customWidth="1"/>
    <col min="5" max="5" width="16" style="15" hidden="1" customWidth="1"/>
    <col min="6" max="6" width="13" style="16" bestFit="1" customWidth="1"/>
    <col min="7" max="8" width="13" style="16" hidden="1" customWidth="1"/>
    <col min="9" max="10" width="13" style="16" bestFit="1" customWidth="1"/>
    <col min="11" max="11" width="17.28515625" style="16" customWidth="1"/>
    <col min="12" max="12" width="22.140625" style="16" customWidth="1"/>
    <col min="13" max="13" width="25.28515625" style="16" customWidth="1"/>
    <col min="14" max="14" width="14.5703125" customWidth="1"/>
    <col min="15" max="15" width="15.42578125" customWidth="1"/>
    <col min="16" max="16" width="24.7109375" bestFit="1" customWidth="1"/>
    <col min="17" max="17" width="17.5703125" bestFit="1" customWidth="1"/>
    <col min="18" max="18" width="30.42578125" bestFit="1" customWidth="1"/>
  </cols>
  <sheetData>
    <row r="1" spans="1:18" s="29" customFormat="1" ht="31.5" customHeight="1" x14ac:dyDescent="0.25">
      <c r="A1" s="25" t="s">
        <v>0</v>
      </c>
      <c r="B1" s="26" t="s">
        <v>1</v>
      </c>
      <c r="C1" s="26" t="s">
        <v>185</v>
      </c>
      <c r="D1" s="27" t="s">
        <v>2</v>
      </c>
      <c r="E1" s="27" t="s">
        <v>3</v>
      </c>
      <c r="F1" s="57" t="s">
        <v>174</v>
      </c>
      <c r="G1" s="28" t="s">
        <v>4</v>
      </c>
      <c r="H1" s="28" t="s">
        <v>5</v>
      </c>
      <c r="I1" s="28" t="s">
        <v>6</v>
      </c>
      <c r="J1" s="28" t="s">
        <v>7</v>
      </c>
      <c r="K1" s="28" t="s">
        <v>40</v>
      </c>
      <c r="L1" s="28" t="s">
        <v>41</v>
      </c>
      <c r="M1" s="28" t="s">
        <v>42</v>
      </c>
      <c r="N1" s="28" t="s">
        <v>45</v>
      </c>
      <c r="O1" s="28" t="s">
        <v>86</v>
      </c>
      <c r="P1" s="28" t="s">
        <v>87</v>
      </c>
      <c r="Q1" s="28" t="s">
        <v>88</v>
      </c>
      <c r="R1" s="28" t="s">
        <v>89</v>
      </c>
    </row>
    <row r="2" spans="1:18" s="34" customFormat="1" ht="31.5" customHeight="1" x14ac:dyDescent="0.25">
      <c r="A2" s="32" t="s">
        <v>94</v>
      </c>
      <c r="B2" s="33" t="s">
        <v>96</v>
      </c>
      <c r="C2" s="16">
        <v>-999</v>
      </c>
      <c r="D2" s="56">
        <v>-999</v>
      </c>
      <c r="E2" s="56">
        <v>-999</v>
      </c>
      <c r="F2" s="56">
        <v>-999</v>
      </c>
      <c r="G2" s="56">
        <v>-999</v>
      </c>
      <c r="H2" s="56">
        <v>-999</v>
      </c>
      <c r="I2" s="56">
        <v>-999</v>
      </c>
      <c r="J2" s="56">
        <v>-999</v>
      </c>
      <c r="K2" s="35">
        <v>-999</v>
      </c>
      <c r="L2" s="35">
        <v>-999</v>
      </c>
      <c r="M2" s="35">
        <v>-999</v>
      </c>
      <c r="N2" s="35">
        <v>-999</v>
      </c>
      <c r="O2" s="35" t="s">
        <v>150</v>
      </c>
      <c r="P2" s="35" t="s">
        <v>150</v>
      </c>
      <c r="Q2" s="35">
        <v>-999</v>
      </c>
      <c r="R2" s="35">
        <v>-999</v>
      </c>
    </row>
    <row r="3" spans="1:18" s="1" customFormat="1" ht="19.5" customHeight="1" x14ac:dyDescent="0.25">
      <c r="A3" s="2" t="s">
        <v>93</v>
      </c>
      <c r="B3" s="3" t="s">
        <v>8</v>
      </c>
      <c r="C3" s="16">
        <v>-999</v>
      </c>
      <c r="D3" s="4">
        <v>-0.6</v>
      </c>
      <c r="E3" s="4">
        <v>-0.1</v>
      </c>
      <c r="F3" s="56">
        <v>-999</v>
      </c>
      <c r="G3" s="56">
        <v>-999</v>
      </c>
      <c r="H3" s="56">
        <v>-999</v>
      </c>
      <c r="I3" s="56">
        <v>-999</v>
      </c>
      <c r="J3" s="56">
        <v>-999</v>
      </c>
      <c r="K3" s="6" t="s">
        <v>164</v>
      </c>
      <c r="L3" s="6" t="s">
        <v>140</v>
      </c>
      <c r="M3" s="6" t="s">
        <v>140</v>
      </c>
      <c r="N3" s="36" t="s">
        <v>149</v>
      </c>
      <c r="O3" s="36" t="s">
        <v>149</v>
      </c>
      <c r="P3" s="36" t="s">
        <v>149</v>
      </c>
      <c r="Q3" s="36" t="s">
        <v>151</v>
      </c>
      <c r="R3" s="36" t="s">
        <v>151</v>
      </c>
    </row>
    <row r="4" spans="1:18" s="1" customFormat="1" ht="19.5" customHeight="1" x14ac:dyDescent="0.25">
      <c r="A4" s="2" t="s">
        <v>95</v>
      </c>
      <c r="B4" s="9" t="s">
        <v>8</v>
      </c>
      <c r="C4" s="16">
        <v>-999</v>
      </c>
      <c r="D4" s="56">
        <v>-999</v>
      </c>
      <c r="E4" s="56">
        <v>-999</v>
      </c>
      <c r="F4" s="56">
        <v>-999</v>
      </c>
      <c r="G4" s="56">
        <v>-999</v>
      </c>
      <c r="H4" s="56">
        <v>-999</v>
      </c>
      <c r="I4" s="56">
        <v>-999</v>
      </c>
      <c r="J4" s="56">
        <v>-999</v>
      </c>
      <c r="K4" s="12">
        <v>-999</v>
      </c>
      <c r="L4" s="8" t="s">
        <v>148</v>
      </c>
      <c r="M4" s="8" t="s">
        <v>148</v>
      </c>
      <c r="N4" s="1">
        <v>-999</v>
      </c>
      <c r="O4" s="36" t="s">
        <v>148</v>
      </c>
      <c r="P4" s="36" t="s">
        <v>148</v>
      </c>
      <c r="Q4" s="36" t="s">
        <v>152</v>
      </c>
      <c r="R4" s="36" t="s">
        <v>152</v>
      </c>
    </row>
    <row r="5" spans="1:18" ht="19.5" customHeight="1" x14ac:dyDescent="0.25">
      <c r="A5" s="2" t="s">
        <v>29</v>
      </c>
      <c r="B5" s="3" t="s">
        <v>9</v>
      </c>
      <c r="C5" s="16">
        <v>-999</v>
      </c>
      <c r="D5" s="4">
        <v>-0.25</v>
      </c>
      <c r="E5" s="4">
        <v>-0.1</v>
      </c>
      <c r="F5" s="8">
        <v>100</v>
      </c>
      <c r="G5" s="8">
        <v>77.64</v>
      </c>
      <c r="H5" s="8">
        <v>110</v>
      </c>
      <c r="I5" s="8">
        <v>50</v>
      </c>
      <c r="J5" s="8">
        <v>119</v>
      </c>
      <c r="K5" s="8">
        <v>-999</v>
      </c>
      <c r="L5" s="8">
        <v>-999</v>
      </c>
      <c r="M5" s="8">
        <v>-999</v>
      </c>
      <c r="N5" s="8">
        <v>-999</v>
      </c>
      <c r="O5">
        <v>-999</v>
      </c>
      <c r="P5">
        <v>-999</v>
      </c>
      <c r="Q5">
        <v>-999</v>
      </c>
      <c r="R5">
        <v>-999</v>
      </c>
    </row>
    <row r="6" spans="1:18" ht="19.5" customHeight="1" x14ac:dyDescent="0.25">
      <c r="A6" s="2" t="s">
        <v>28</v>
      </c>
      <c r="B6" s="3" t="s">
        <v>10</v>
      </c>
      <c r="C6" s="16">
        <v>-999</v>
      </c>
      <c r="D6" s="4">
        <v>-0.19</v>
      </c>
      <c r="E6" s="4">
        <v>0.01</v>
      </c>
      <c r="F6" s="8">
        <v>35</v>
      </c>
      <c r="G6" s="8">
        <v>38</v>
      </c>
      <c r="H6" s="8">
        <v>38</v>
      </c>
      <c r="I6" s="24">
        <v>45</v>
      </c>
      <c r="J6" s="24">
        <v>45</v>
      </c>
      <c r="K6" s="8">
        <v>-999</v>
      </c>
      <c r="L6" s="8">
        <v>-999</v>
      </c>
      <c r="M6" s="8">
        <v>-999</v>
      </c>
      <c r="N6">
        <v>-999</v>
      </c>
      <c r="O6">
        <v>-999</v>
      </c>
      <c r="P6">
        <v>-999</v>
      </c>
      <c r="Q6">
        <v>-999</v>
      </c>
      <c r="R6">
        <v>-999</v>
      </c>
    </row>
    <row r="7" spans="1:18" ht="30" x14ac:dyDescent="0.25">
      <c r="A7" s="2" t="s">
        <v>30</v>
      </c>
      <c r="B7" s="3" t="s">
        <v>173</v>
      </c>
      <c r="C7" s="16">
        <v>-999</v>
      </c>
      <c r="D7" s="4" t="s">
        <v>11</v>
      </c>
      <c r="E7" s="4" t="s">
        <v>12</v>
      </c>
      <c r="F7" s="8">
        <v>100</v>
      </c>
      <c r="G7" s="8">
        <v>106</v>
      </c>
      <c r="H7" s="8">
        <v>126</v>
      </c>
      <c r="I7" s="8">
        <v>117</v>
      </c>
      <c r="J7" s="8">
        <v>191</v>
      </c>
      <c r="K7" s="8" t="s">
        <v>141</v>
      </c>
      <c r="L7" s="8" t="s">
        <v>142</v>
      </c>
      <c r="M7" s="8">
        <v>-999</v>
      </c>
      <c r="N7" s="8" t="s">
        <v>153</v>
      </c>
      <c r="O7" s="8" t="s">
        <v>154</v>
      </c>
      <c r="P7">
        <v>-999</v>
      </c>
      <c r="Q7" s="8" t="s">
        <v>154</v>
      </c>
      <c r="R7" s="8" t="s">
        <v>154</v>
      </c>
    </row>
    <row r="8" spans="1:18" ht="19.5" customHeight="1" x14ac:dyDescent="0.25">
      <c r="A8" s="2" t="s">
        <v>39</v>
      </c>
      <c r="B8" s="9" t="s">
        <v>13</v>
      </c>
      <c r="C8" s="16">
        <v>-999</v>
      </c>
      <c r="D8" s="4">
        <v>0.54</v>
      </c>
      <c r="E8" s="4">
        <v>0.74</v>
      </c>
      <c r="F8" s="20">
        <v>8.5310000000000006</v>
      </c>
      <c r="G8" s="19">
        <v>8.99</v>
      </c>
      <c r="H8" s="19">
        <v>9.92</v>
      </c>
      <c r="I8" s="19">
        <v>9.1</v>
      </c>
      <c r="J8" s="19">
        <v>12.2</v>
      </c>
      <c r="K8" s="8" t="s">
        <v>143</v>
      </c>
      <c r="L8" s="8">
        <v>-999</v>
      </c>
      <c r="M8" s="8">
        <v>-999</v>
      </c>
      <c r="N8" s="55" t="s">
        <v>155</v>
      </c>
      <c r="O8">
        <v>-999</v>
      </c>
      <c r="P8">
        <v>-999</v>
      </c>
      <c r="Q8">
        <v>-999</v>
      </c>
      <c r="R8">
        <v>-999</v>
      </c>
    </row>
    <row r="9" spans="1:18" ht="19.5" customHeight="1" x14ac:dyDescent="0.25">
      <c r="A9" s="2" t="s">
        <v>31</v>
      </c>
      <c r="B9" s="3" t="s">
        <v>14</v>
      </c>
      <c r="C9" s="16">
        <v>-999</v>
      </c>
      <c r="D9" s="4">
        <v>0.2</v>
      </c>
      <c r="E9" s="4">
        <v>0.45</v>
      </c>
      <c r="F9" s="8">
        <v>100</v>
      </c>
      <c r="G9" s="21">
        <v>101.7837</v>
      </c>
      <c r="H9" s="21">
        <v>104.1806</v>
      </c>
      <c r="I9" s="22">
        <v>104.2363</v>
      </c>
      <c r="J9" s="22">
        <v>114.9387</v>
      </c>
      <c r="K9" s="8" t="s">
        <v>144</v>
      </c>
      <c r="L9" s="8">
        <v>-999</v>
      </c>
      <c r="M9" s="8">
        <v>-999</v>
      </c>
      <c r="N9" s="8" t="s">
        <v>156</v>
      </c>
      <c r="O9">
        <v>-999</v>
      </c>
      <c r="P9">
        <v>-999</v>
      </c>
      <c r="Q9">
        <v>-999</v>
      </c>
      <c r="R9">
        <v>-999</v>
      </c>
    </row>
    <row r="10" spans="1:18" ht="19.5" customHeight="1" x14ac:dyDescent="0.25">
      <c r="A10" s="2" t="s">
        <v>32</v>
      </c>
      <c r="B10" s="9" t="s">
        <v>15</v>
      </c>
      <c r="C10" s="16">
        <v>-999</v>
      </c>
      <c r="D10" s="4">
        <v>0.44</v>
      </c>
      <c r="E10" s="4">
        <v>0.84</v>
      </c>
      <c r="F10" s="18">
        <v>3855.6</v>
      </c>
      <c r="G10" s="8">
        <v>4021</v>
      </c>
      <c r="H10" s="8">
        <v>4307</v>
      </c>
      <c r="I10" s="8">
        <v>4237</v>
      </c>
      <c r="J10" s="8">
        <v>5125</v>
      </c>
      <c r="K10" s="8" t="s">
        <v>145</v>
      </c>
      <c r="L10" s="8">
        <v>-999</v>
      </c>
      <c r="M10" s="8">
        <v>-999</v>
      </c>
      <c r="N10" s="8" t="s">
        <v>157</v>
      </c>
      <c r="O10">
        <v>-999</v>
      </c>
      <c r="P10">
        <v>-999</v>
      </c>
      <c r="Q10">
        <v>-999</v>
      </c>
      <c r="R10">
        <v>-999</v>
      </c>
    </row>
    <row r="11" spans="1:18" ht="19.5" customHeight="1" x14ac:dyDescent="0.25">
      <c r="A11" s="2" t="s">
        <v>16</v>
      </c>
      <c r="B11" s="3" t="s">
        <v>17</v>
      </c>
      <c r="C11" s="16">
        <v>-999</v>
      </c>
      <c r="D11" s="56">
        <v>-999</v>
      </c>
      <c r="E11" s="56">
        <v>-999</v>
      </c>
      <c r="F11" s="19">
        <v>3.78</v>
      </c>
      <c r="G11" s="19">
        <v>3.84</v>
      </c>
      <c r="H11" s="19">
        <v>3.84</v>
      </c>
      <c r="I11" s="19">
        <v>3.78</v>
      </c>
      <c r="J11" s="19">
        <v>3.78</v>
      </c>
      <c r="K11" s="8">
        <v>-999</v>
      </c>
      <c r="L11" s="8">
        <v>-999</v>
      </c>
      <c r="M11" s="8">
        <v>-999</v>
      </c>
      <c r="N11" s="8">
        <v>-999</v>
      </c>
      <c r="O11" s="8">
        <v>-999</v>
      </c>
      <c r="P11" s="8">
        <v>-999</v>
      </c>
      <c r="Q11" s="8">
        <v>-999</v>
      </c>
      <c r="R11" s="8">
        <v>-999</v>
      </c>
    </row>
    <row r="12" spans="1:18" ht="33" customHeight="1" x14ac:dyDescent="0.25">
      <c r="A12" s="2" t="s">
        <v>18</v>
      </c>
      <c r="B12" s="3" t="s">
        <v>19</v>
      </c>
      <c r="C12" s="16">
        <v>-999</v>
      </c>
      <c r="D12" s="56">
        <v>-999</v>
      </c>
      <c r="E12" s="56">
        <v>-999</v>
      </c>
      <c r="F12" s="19">
        <v>0.75</v>
      </c>
      <c r="G12" s="19">
        <v>1</v>
      </c>
      <c r="H12" s="19">
        <v>2</v>
      </c>
      <c r="I12" s="19">
        <v>0.75</v>
      </c>
      <c r="J12" s="19">
        <v>2.25</v>
      </c>
      <c r="K12" s="8">
        <v>-999</v>
      </c>
      <c r="L12" s="8">
        <v>-999</v>
      </c>
      <c r="M12" s="8">
        <v>-999</v>
      </c>
      <c r="N12" s="8">
        <v>-999</v>
      </c>
      <c r="O12" s="8">
        <v>-999</v>
      </c>
      <c r="P12" s="8">
        <v>-999</v>
      </c>
      <c r="Q12" s="8">
        <v>-999</v>
      </c>
      <c r="R12" s="8">
        <v>-999</v>
      </c>
    </row>
    <row r="13" spans="1:18" ht="19.5" customHeight="1" x14ac:dyDescent="0.25">
      <c r="A13" s="2" t="s">
        <v>33</v>
      </c>
      <c r="B13" s="3" t="s">
        <v>20</v>
      </c>
      <c r="C13" s="16">
        <v>-999</v>
      </c>
      <c r="D13" s="56">
        <v>-999</v>
      </c>
      <c r="E13" s="56">
        <v>-999</v>
      </c>
      <c r="F13" s="8">
        <v>40</v>
      </c>
      <c r="G13" s="5">
        <v>50</v>
      </c>
      <c r="H13" s="5">
        <v>65</v>
      </c>
      <c r="I13" s="7">
        <v>40</v>
      </c>
      <c r="J13" s="7">
        <v>80</v>
      </c>
      <c r="K13" s="8">
        <v>-999</v>
      </c>
      <c r="L13" s="8">
        <v>-999</v>
      </c>
      <c r="M13" s="8">
        <v>-999</v>
      </c>
      <c r="N13" s="8">
        <v>-999</v>
      </c>
      <c r="O13" s="8">
        <v>-999</v>
      </c>
      <c r="P13" s="8">
        <v>-999</v>
      </c>
      <c r="Q13" s="8">
        <v>-999</v>
      </c>
      <c r="R13" s="8">
        <v>-999</v>
      </c>
    </row>
    <row r="14" spans="1:18" s="1" customFormat="1" ht="31.5" customHeight="1" x14ac:dyDescent="0.25">
      <c r="A14" s="2" t="s">
        <v>21</v>
      </c>
      <c r="B14" s="3" t="s">
        <v>22</v>
      </c>
      <c r="C14" s="16">
        <v>-999</v>
      </c>
      <c r="D14" s="4">
        <v>0.2</v>
      </c>
      <c r="E14" s="4">
        <v>0.6</v>
      </c>
      <c r="F14" s="56">
        <v>-999</v>
      </c>
      <c r="G14" s="56">
        <v>-999</v>
      </c>
      <c r="H14" s="56">
        <v>-999</v>
      </c>
      <c r="I14" s="56">
        <v>-999</v>
      </c>
      <c r="J14" s="56">
        <v>-999</v>
      </c>
      <c r="K14" s="6" t="s">
        <v>146</v>
      </c>
      <c r="L14" s="8">
        <v>-999</v>
      </c>
      <c r="M14" s="8">
        <v>-999</v>
      </c>
      <c r="N14" s="8">
        <v>-999</v>
      </c>
      <c r="O14" s="8">
        <v>-999</v>
      </c>
      <c r="P14" s="8">
        <v>-999</v>
      </c>
      <c r="Q14" s="8">
        <v>-999</v>
      </c>
      <c r="R14" s="8">
        <v>-999</v>
      </c>
    </row>
    <row r="15" spans="1:18" ht="19.5" customHeight="1" x14ac:dyDescent="0.25">
      <c r="A15" s="2" t="s">
        <v>34</v>
      </c>
      <c r="B15" s="3" t="s">
        <v>23</v>
      </c>
      <c r="C15" s="16">
        <v>-999</v>
      </c>
      <c r="D15" s="4">
        <v>0.32</v>
      </c>
      <c r="E15" s="4">
        <v>0.52</v>
      </c>
      <c r="F15" s="8">
        <v>100</v>
      </c>
      <c r="G15" s="18">
        <v>102.2</v>
      </c>
      <c r="H15" s="18">
        <v>120.5</v>
      </c>
      <c r="I15" s="18">
        <v>106.5</v>
      </c>
      <c r="J15" s="18">
        <v>171.8</v>
      </c>
      <c r="K15" s="8">
        <v>-999</v>
      </c>
      <c r="L15" s="8">
        <v>-999</v>
      </c>
      <c r="M15" s="8" t="s">
        <v>170</v>
      </c>
      <c r="N15" s="8">
        <v>-999</v>
      </c>
      <c r="O15" s="8">
        <v>-999</v>
      </c>
      <c r="P15" s="8" t="s">
        <v>170</v>
      </c>
      <c r="Q15" s="8">
        <v>-999</v>
      </c>
      <c r="R15" s="8" t="s">
        <v>170</v>
      </c>
    </row>
    <row r="16" spans="1:18" x14ac:dyDescent="0.25">
      <c r="A16" s="2" t="s">
        <v>35</v>
      </c>
      <c r="B16" s="3" t="s">
        <v>24</v>
      </c>
      <c r="C16" s="16">
        <v>-999</v>
      </c>
      <c r="D16" s="4">
        <v>-1.26</v>
      </c>
      <c r="E16" s="7">
        <v>-999</v>
      </c>
      <c r="F16" s="8">
        <v>64</v>
      </c>
      <c r="G16" s="8">
        <v>61</v>
      </c>
      <c r="H16" s="8">
        <v>66</v>
      </c>
      <c r="I16" s="8">
        <v>57</v>
      </c>
      <c r="J16" s="8">
        <v>69</v>
      </c>
      <c r="K16" s="8">
        <v>-999</v>
      </c>
      <c r="L16" s="8" t="s">
        <v>147</v>
      </c>
      <c r="M16" s="8" t="s">
        <v>147</v>
      </c>
      <c r="N16" s="8">
        <v>-999</v>
      </c>
      <c r="O16" s="8" t="s">
        <v>147</v>
      </c>
      <c r="P16" s="8" t="s">
        <v>147</v>
      </c>
      <c r="Q16" s="8" t="s">
        <v>147</v>
      </c>
      <c r="R16" s="8">
        <v>-999</v>
      </c>
    </row>
    <row r="17" spans="1:18" ht="31.5" customHeight="1" x14ac:dyDescent="0.25">
      <c r="A17" s="2" t="s">
        <v>36</v>
      </c>
      <c r="B17" s="3" t="s">
        <v>25</v>
      </c>
      <c r="C17" s="16">
        <v>-999</v>
      </c>
      <c r="D17" s="4">
        <v>0.26</v>
      </c>
      <c r="E17" s="4">
        <v>0.46</v>
      </c>
      <c r="F17" s="8">
        <v>8</v>
      </c>
      <c r="G17" s="8">
        <v>9</v>
      </c>
      <c r="H17" s="8">
        <v>9</v>
      </c>
      <c r="I17" s="8">
        <v>9</v>
      </c>
      <c r="J17" s="8">
        <v>9</v>
      </c>
      <c r="K17" s="8">
        <v>-999</v>
      </c>
      <c r="L17" s="8">
        <v>-999</v>
      </c>
      <c r="M17" s="8">
        <v>-999</v>
      </c>
      <c r="N17" s="8">
        <v>-999</v>
      </c>
      <c r="O17" s="8">
        <v>-999</v>
      </c>
      <c r="P17" s="8">
        <v>-999</v>
      </c>
      <c r="Q17" s="8">
        <v>-999</v>
      </c>
      <c r="R17" s="8">
        <v>-999</v>
      </c>
    </row>
    <row r="18" spans="1:18" ht="31.5" customHeight="1" x14ac:dyDescent="0.25">
      <c r="A18" s="2" t="s">
        <v>37</v>
      </c>
      <c r="B18" s="3" t="s">
        <v>26</v>
      </c>
      <c r="C18" s="16">
        <v>-999</v>
      </c>
      <c r="D18" s="4">
        <v>0.13</v>
      </c>
      <c r="E18" s="4">
        <v>0.33</v>
      </c>
      <c r="F18" s="8">
        <v>2</v>
      </c>
      <c r="G18" s="8">
        <v>2</v>
      </c>
      <c r="H18" s="8">
        <v>2</v>
      </c>
      <c r="I18" s="8">
        <v>2</v>
      </c>
      <c r="J18" s="8">
        <v>2</v>
      </c>
      <c r="K18" s="8">
        <v>-999</v>
      </c>
      <c r="L18" s="8">
        <v>-999</v>
      </c>
      <c r="M18" s="8">
        <v>-999</v>
      </c>
      <c r="N18" s="8">
        <v>-999</v>
      </c>
      <c r="O18" s="8">
        <v>-999</v>
      </c>
      <c r="P18" s="8">
        <v>-999</v>
      </c>
      <c r="Q18" s="8">
        <v>-999</v>
      </c>
      <c r="R18" s="8">
        <v>-999</v>
      </c>
    </row>
    <row r="19" spans="1:18" ht="19.5" customHeight="1" x14ac:dyDescent="0.25">
      <c r="A19" s="17" t="s">
        <v>38</v>
      </c>
      <c r="B19" s="10" t="s">
        <v>27</v>
      </c>
      <c r="C19" s="16">
        <v>-999</v>
      </c>
      <c r="D19" s="11">
        <v>-0.57999999999999996</v>
      </c>
      <c r="E19" s="11">
        <v>-0.38</v>
      </c>
      <c r="F19" s="23">
        <v>19.3</v>
      </c>
      <c r="G19" s="23">
        <v>22.3</v>
      </c>
      <c r="H19" s="23">
        <v>22.9</v>
      </c>
      <c r="I19" s="23">
        <v>22.9</v>
      </c>
      <c r="J19" s="23">
        <v>26</v>
      </c>
      <c r="K19" s="8">
        <v>-999</v>
      </c>
      <c r="L19" s="8">
        <v>-999</v>
      </c>
      <c r="M19" s="8">
        <v>-999</v>
      </c>
      <c r="N19" s="8">
        <v>-999</v>
      </c>
      <c r="O19" s="8">
        <v>-999</v>
      </c>
      <c r="P19" s="8">
        <v>-999</v>
      </c>
      <c r="Q19" s="8">
        <v>-999</v>
      </c>
      <c r="R19" s="8">
        <v>-999</v>
      </c>
    </row>
    <row r="20" spans="1:18" x14ac:dyDescent="0.25">
      <c r="A20" s="30" t="s">
        <v>43</v>
      </c>
      <c r="B20" s="14" t="s">
        <v>47</v>
      </c>
      <c r="C20" s="16">
        <v>-999</v>
      </c>
      <c r="D20" s="56">
        <v>-999</v>
      </c>
      <c r="E20" s="56">
        <v>-999</v>
      </c>
      <c r="F20" s="56">
        <v>-999</v>
      </c>
      <c r="G20" s="56">
        <v>-999</v>
      </c>
      <c r="H20" s="56">
        <v>-999</v>
      </c>
      <c r="I20" s="56">
        <v>-999</v>
      </c>
      <c r="J20" s="56">
        <v>-999</v>
      </c>
      <c r="K20" s="16" t="s">
        <v>161</v>
      </c>
      <c r="L20" s="16">
        <v>-999</v>
      </c>
      <c r="M20" s="16">
        <v>-999</v>
      </c>
      <c r="N20" t="s">
        <v>158</v>
      </c>
      <c r="O20" s="16">
        <v>-999</v>
      </c>
      <c r="P20" s="16">
        <v>-999</v>
      </c>
      <c r="Q20" s="16">
        <v>-999</v>
      </c>
      <c r="R20" s="16">
        <v>-999</v>
      </c>
    </row>
    <row r="21" spans="1:18" x14ac:dyDescent="0.25">
      <c r="A21" s="30" t="s">
        <v>57</v>
      </c>
      <c r="B21" s="31" t="s">
        <v>85</v>
      </c>
      <c r="C21" s="16">
        <v>-999</v>
      </c>
      <c r="D21" s="56">
        <v>-999</v>
      </c>
      <c r="E21" s="56">
        <v>-999</v>
      </c>
      <c r="F21" s="16">
        <v>100</v>
      </c>
      <c r="I21" s="16">
        <v>190</v>
      </c>
      <c r="J21" s="16">
        <v>220</v>
      </c>
      <c r="K21" s="16">
        <v>-999</v>
      </c>
      <c r="L21" s="16">
        <v>-999</v>
      </c>
      <c r="M21" s="16">
        <v>-999</v>
      </c>
      <c r="N21" s="16">
        <v>-999</v>
      </c>
      <c r="O21" s="16">
        <v>-999</v>
      </c>
      <c r="P21" s="16">
        <v>-999</v>
      </c>
      <c r="Q21" s="16">
        <v>-999</v>
      </c>
      <c r="R21" s="16">
        <v>-999</v>
      </c>
    </row>
    <row r="22" spans="1:18" x14ac:dyDescent="0.25">
      <c r="A22" s="30" t="s">
        <v>44</v>
      </c>
      <c r="B22" s="14" t="s">
        <v>48</v>
      </c>
      <c r="C22" s="16">
        <v>-999</v>
      </c>
      <c r="D22" s="56">
        <v>-999</v>
      </c>
      <c r="E22" s="56">
        <v>-999</v>
      </c>
      <c r="F22" s="16">
        <v>100</v>
      </c>
      <c r="I22" s="16">
        <v>103</v>
      </c>
      <c r="J22" s="16">
        <v>105</v>
      </c>
      <c r="K22" s="16" t="s">
        <v>163</v>
      </c>
      <c r="L22" s="16">
        <v>-999</v>
      </c>
      <c r="M22" s="16">
        <v>-999</v>
      </c>
      <c r="N22" t="s">
        <v>159</v>
      </c>
      <c r="O22" s="16">
        <v>-999</v>
      </c>
      <c r="P22" s="16">
        <v>-999</v>
      </c>
      <c r="Q22" s="16">
        <v>-999</v>
      </c>
      <c r="R22" s="16">
        <v>-999</v>
      </c>
    </row>
    <row r="23" spans="1:18" x14ac:dyDescent="0.25">
      <c r="A23" s="30" t="s">
        <v>46</v>
      </c>
      <c r="B23" s="14" t="s">
        <v>49</v>
      </c>
      <c r="C23" s="16">
        <v>-999</v>
      </c>
      <c r="D23" s="56">
        <v>-999</v>
      </c>
      <c r="E23" s="56">
        <v>-999</v>
      </c>
      <c r="F23" s="16">
        <v>100</v>
      </c>
      <c r="I23" s="16">
        <v>88</v>
      </c>
      <c r="J23" s="16">
        <v>105</v>
      </c>
      <c r="K23" s="16">
        <v>-999</v>
      </c>
      <c r="L23" s="16">
        <v>-999</v>
      </c>
      <c r="M23" s="16">
        <v>-999</v>
      </c>
      <c r="N23" t="s">
        <v>160</v>
      </c>
      <c r="O23" s="16">
        <v>-999</v>
      </c>
      <c r="P23" s="16">
        <v>-999</v>
      </c>
      <c r="Q23" s="16">
        <v>-999</v>
      </c>
      <c r="R23" s="16">
        <v>-999</v>
      </c>
    </row>
    <row r="24" spans="1:18" x14ac:dyDescent="0.25">
      <c r="A24" s="30" t="s">
        <v>133</v>
      </c>
      <c r="B24" s="59" t="s">
        <v>56</v>
      </c>
      <c r="C24" s="16">
        <v>-999</v>
      </c>
      <c r="D24" s="56">
        <v>-999</v>
      </c>
      <c r="E24" s="56">
        <v>-999</v>
      </c>
      <c r="F24" s="16">
        <v>300</v>
      </c>
      <c r="I24" s="16">
        <v>345</v>
      </c>
      <c r="J24" s="16">
        <v>470</v>
      </c>
      <c r="K24" s="16">
        <v>-999</v>
      </c>
      <c r="L24" s="16">
        <v>-999</v>
      </c>
      <c r="M24" s="16">
        <v>-999</v>
      </c>
      <c r="N24" s="16">
        <v>-999</v>
      </c>
      <c r="O24" s="16">
        <v>-999</v>
      </c>
      <c r="P24" s="16">
        <v>-999</v>
      </c>
      <c r="Q24" s="16">
        <v>-999</v>
      </c>
      <c r="R24" s="16">
        <v>-999</v>
      </c>
    </row>
    <row r="25" spans="1:18" x14ac:dyDescent="0.25">
      <c r="A25" s="30" t="s">
        <v>134</v>
      </c>
      <c r="B25" s="59" t="s">
        <v>135</v>
      </c>
      <c r="C25" s="16">
        <v>-999</v>
      </c>
      <c r="D25" s="56">
        <v>-999</v>
      </c>
      <c r="E25" s="56">
        <v>-999</v>
      </c>
      <c r="F25" s="16">
        <v>1940</v>
      </c>
      <c r="I25" s="16">
        <v>2813</v>
      </c>
      <c r="J25" s="16">
        <v>2813</v>
      </c>
      <c r="N25" s="16"/>
      <c r="O25" s="16"/>
      <c r="P25" s="16"/>
      <c r="Q25" s="16"/>
      <c r="R25" s="16"/>
    </row>
    <row r="26" spans="1:18" x14ac:dyDescent="0.25">
      <c r="A26" s="30" t="s">
        <v>50</v>
      </c>
      <c r="B26" t="s">
        <v>51</v>
      </c>
      <c r="C26" s="16">
        <v>-999</v>
      </c>
      <c r="D26" s="56">
        <v>-999</v>
      </c>
      <c r="E26" s="56">
        <v>-999</v>
      </c>
      <c r="F26" s="38">
        <v>0.23</v>
      </c>
      <c r="G26" s="38"/>
      <c r="H26" s="38"/>
      <c r="I26" s="38">
        <v>0.25</v>
      </c>
      <c r="J26" s="38">
        <v>0.5</v>
      </c>
      <c r="K26" s="16">
        <v>-999</v>
      </c>
      <c r="L26" s="16">
        <v>-999</v>
      </c>
      <c r="M26" s="16">
        <v>-999</v>
      </c>
      <c r="N26" s="16">
        <v>-999</v>
      </c>
      <c r="O26" s="16">
        <v>-999</v>
      </c>
      <c r="P26" s="16">
        <v>-999</v>
      </c>
      <c r="Q26" s="16">
        <v>-999</v>
      </c>
      <c r="R26" s="16">
        <v>-999</v>
      </c>
    </row>
    <row r="27" spans="1:18" x14ac:dyDescent="0.25">
      <c r="A27" s="30" t="s">
        <v>165</v>
      </c>
      <c r="B27" s="14" t="s">
        <v>166</v>
      </c>
      <c r="C27" s="16">
        <v>-999</v>
      </c>
      <c r="D27" s="56">
        <v>-999</v>
      </c>
      <c r="E27" s="56">
        <v>-999</v>
      </c>
      <c r="F27" s="56">
        <v>-999</v>
      </c>
      <c r="G27" s="56">
        <v>-999</v>
      </c>
      <c r="H27" s="56">
        <v>-999</v>
      </c>
      <c r="I27" s="56">
        <v>-999</v>
      </c>
      <c r="J27" s="56">
        <v>-999</v>
      </c>
      <c r="K27" s="16">
        <v>-999</v>
      </c>
      <c r="L27" s="16" t="s">
        <v>172</v>
      </c>
      <c r="M27" s="16" t="s">
        <v>172</v>
      </c>
      <c r="N27" s="16">
        <v>-999</v>
      </c>
      <c r="O27" s="16" t="s">
        <v>168</v>
      </c>
      <c r="P27" s="16" t="s">
        <v>168</v>
      </c>
      <c r="Q27" s="16" t="s">
        <v>169</v>
      </c>
      <c r="R27" s="16" t="s">
        <v>169</v>
      </c>
    </row>
    <row r="28" spans="1:18" x14ac:dyDescent="0.25">
      <c r="A28" s="30" t="s">
        <v>90</v>
      </c>
      <c r="B28" s="14" t="s">
        <v>91</v>
      </c>
      <c r="C28" s="16">
        <v>-999</v>
      </c>
      <c r="D28" s="56">
        <v>-999</v>
      </c>
      <c r="E28" s="56">
        <v>-999</v>
      </c>
      <c r="F28" s="56">
        <v>-999</v>
      </c>
      <c r="G28" s="56">
        <v>-999</v>
      </c>
      <c r="H28" s="56">
        <v>-999</v>
      </c>
      <c r="I28" s="56">
        <v>-999</v>
      </c>
      <c r="J28" s="56">
        <v>-999</v>
      </c>
      <c r="K28" s="16" t="s">
        <v>167</v>
      </c>
      <c r="L28" s="16">
        <v>-999</v>
      </c>
      <c r="M28" s="16">
        <v>-999</v>
      </c>
      <c r="N28" t="s">
        <v>162</v>
      </c>
      <c r="O28">
        <v>-999</v>
      </c>
      <c r="P28">
        <v>-999</v>
      </c>
      <c r="Q28">
        <v>-999</v>
      </c>
      <c r="R28">
        <v>-999</v>
      </c>
    </row>
    <row r="29" spans="1:18" x14ac:dyDescent="0.25">
      <c r="A29" s="30" t="s">
        <v>97</v>
      </c>
      <c r="B29" s="14" t="s">
        <v>98</v>
      </c>
      <c r="C29" s="16">
        <v>-999</v>
      </c>
      <c r="D29" s="56">
        <v>-999</v>
      </c>
      <c r="E29" s="56">
        <v>-999</v>
      </c>
      <c r="F29" s="38">
        <v>0.42</v>
      </c>
      <c r="I29" s="38">
        <v>0.44</v>
      </c>
      <c r="J29" s="38">
        <v>0.62</v>
      </c>
      <c r="K29" s="16">
        <v>-999</v>
      </c>
      <c r="L29" s="16" t="s">
        <v>171</v>
      </c>
      <c r="M29" s="16" t="s">
        <v>171</v>
      </c>
      <c r="N29" s="16">
        <v>-999</v>
      </c>
      <c r="O29" s="16">
        <v>-999</v>
      </c>
      <c r="P29" s="16">
        <v>-999</v>
      </c>
      <c r="Q29" s="16">
        <v>-999</v>
      </c>
      <c r="R29" s="16">
        <v>-999</v>
      </c>
    </row>
    <row r="30" spans="1:18" x14ac:dyDescent="0.25">
      <c r="A30" s="30" t="s">
        <v>136</v>
      </c>
      <c r="B30" s="14" t="s">
        <v>137</v>
      </c>
      <c r="C30" s="16">
        <v>-999</v>
      </c>
      <c r="D30" s="56">
        <v>-999</v>
      </c>
      <c r="E30" s="56">
        <v>-999</v>
      </c>
      <c r="F30" s="38">
        <v>0.51</v>
      </c>
      <c r="K30" s="16">
        <v>-999</v>
      </c>
      <c r="L30" s="16">
        <v>-999</v>
      </c>
      <c r="M30" s="16">
        <v>-999</v>
      </c>
      <c r="N30" s="16">
        <v>-999</v>
      </c>
      <c r="O30" s="16">
        <v>-999</v>
      </c>
      <c r="P30" s="16">
        <v>-999</v>
      </c>
      <c r="Q30" s="16">
        <v>-999</v>
      </c>
      <c r="R30" s="16">
        <v>-999</v>
      </c>
    </row>
    <row r="31" spans="1:18" x14ac:dyDescent="0.25">
      <c r="A31" s="30" t="s">
        <v>92</v>
      </c>
      <c r="B31" s="31" t="s">
        <v>138</v>
      </c>
      <c r="C31" s="16">
        <v>-999</v>
      </c>
      <c r="D31" s="56">
        <v>-999</v>
      </c>
      <c r="E31" s="56">
        <v>-999</v>
      </c>
      <c r="F31" s="38">
        <v>0.54</v>
      </c>
      <c r="I31" s="38">
        <v>0.6</v>
      </c>
      <c r="J31" s="38">
        <v>0.75</v>
      </c>
      <c r="K31" s="16">
        <v>-999</v>
      </c>
      <c r="L31" s="16">
        <v>-999</v>
      </c>
      <c r="M31" s="16">
        <v>-999</v>
      </c>
      <c r="N31" s="16">
        <v>-999</v>
      </c>
      <c r="O31" s="16">
        <v>-999</v>
      </c>
      <c r="P31" s="16">
        <v>-999</v>
      </c>
      <c r="Q31" s="16" t="s">
        <v>171</v>
      </c>
      <c r="R31" s="16" t="s">
        <v>171</v>
      </c>
    </row>
    <row r="32" spans="1:18" x14ac:dyDescent="0.25">
      <c r="A32" s="30" t="s">
        <v>180</v>
      </c>
      <c r="B32" s="31" t="s">
        <v>178</v>
      </c>
      <c r="C32" s="31" t="s">
        <v>186</v>
      </c>
      <c r="D32" s="56"/>
      <c r="E32" s="56"/>
      <c r="F32" s="16">
        <v>0</v>
      </c>
      <c r="I32" s="16">
        <v>0</v>
      </c>
      <c r="J32" s="16">
        <v>0</v>
      </c>
      <c r="N32" s="16"/>
      <c r="O32" s="16"/>
      <c r="P32" s="16"/>
      <c r="Q32" s="16"/>
      <c r="R32" s="16"/>
    </row>
    <row r="33" spans="1:18" x14ac:dyDescent="0.25">
      <c r="A33" s="30" t="s">
        <v>180</v>
      </c>
      <c r="B33" s="31" t="s">
        <v>178</v>
      </c>
      <c r="C33" s="31" t="s">
        <v>187</v>
      </c>
      <c r="D33" s="56"/>
      <c r="E33" s="56"/>
      <c r="F33" s="38">
        <v>0.75</v>
      </c>
      <c r="G33" s="38">
        <v>0.75</v>
      </c>
      <c r="H33" s="38">
        <v>0.75</v>
      </c>
      <c r="I33" s="38">
        <v>0.75</v>
      </c>
      <c r="J33" s="38">
        <v>0.75</v>
      </c>
      <c r="N33" s="16"/>
      <c r="O33" s="16"/>
      <c r="P33" s="16"/>
      <c r="Q33" s="16"/>
      <c r="R33" s="16"/>
    </row>
    <row r="34" spans="1:18" x14ac:dyDescent="0.25">
      <c r="A34" s="30" t="s">
        <v>181</v>
      </c>
      <c r="B34" s="31" t="s">
        <v>179</v>
      </c>
      <c r="C34" s="31" t="s">
        <v>186</v>
      </c>
      <c r="D34" s="56"/>
      <c r="E34" s="56"/>
      <c r="F34" s="16">
        <v>0</v>
      </c>
      <c r="I34" s="16">
        <v>0</v>
      </c>
      <c r="J34" s="16">
        <v>0</v>
      </c>
      <c r="N34" s="16"/>
      <c r="O34" s="16"/>
      <c r="P34" s="16"/>
      <c r="Q34" s="16"/>
      <c r="R34" s="16"/>
    </row>
    <row r="35" spans="1:18" x14ac:dyDescent="0.25">
      <c r="A35" s="30" t="s">
        <v>181</v>
      </c>
      <c r="B35" s="31" t="s">
        <v>179</v>
      </c>
      <c r="C35" s="31" t="s">
        <v>187</v>
      </c>
      <c r="D35" s="56"/>
      <c r="E35" s="56"/>
      <c r="F35" s="38">
        <v>0.25</v>
      </c>
      <c r="G35" s="38">
        <v>0.25</v>
      </c>
      <c r="H35" s="38">
        <v>0.25</v>
      </c>
      <c r="I35" s="38">
        <v>0.25</v>
      </c>
      <c r="J35" s="38">
        <v>0.25</v>
      </c>
      <c r="N35" s="16"/>
      <c r="O35" s="16"/>
      <c r="P35" s="16"/>
      <c r="Q35" s="16"/>
      <c r="R35" s="16"/>
    </row>
    <row r="36" spans="1:18" x14ac:dyDescent="0.25">
      <c r="A36" s="30" t="s">
        <v>182</v>
      </c>
      <c r="B36" s="58" t="s">
        <v>177</v>
      </c>
      <c r="C36" s="31"/>
      <c r="D36" s="56"/>
      <c r="E36" s="56"/>
      <c r="F36" s="38">
        <v>1</v>
      </c>
      <c r="I36" s="38">
        <v>1.45</v>
      </c>
      <c r="J36" s="38">
        <v>1.45</v>
      </c>
      <c r="N36" s="16"/>
      <c r="O36" s="16"/>
      <c r="P36" s="16"/>
      <c r="Q36" s="16"/>
      <c r="R36" s="16"/>
    </row>
    <row r="37" spans="1:18" x14ac:dyDescent="0.25">
      <c r="A37" s="30" t="s">
        <v>183</v>
      </c>
      <c r="B37" s="31" t="s">
        <v>176</v>
      </c>
      <c r="C37" s="31"/>
      <c r="D37" s="56"/>
      <c r="E37" s="56"/>
      <c r="F37" s="38"/>
      <c r="I37" s="38"/>
      <c r="J37" s="38"/>
      <c r="N37" s="16"/>
      <c r="O37" s="16"/>
      <c r="P37" s="16"/>
      <c r="Q37" s="16"/>
      <c r="R37" s="16"/>
    </row>
    <row r="38" spans="1:18" x14ac:dyDescent="0.25">
      <c r="A38" s="30" t="s">
        <v>184</v>
      </c>
      <c r="B38" s="58" t="s">
        <v>175</v>
      </c>
      <c r="C38" s="31"/>
      <c r="D38" s="56"/>
      <c r="E38" s="56"/>
      <c r="F38" s="38">
        <v>1</v>
      </c>
      <c r="I38" s="38">
        <v>1</v>
      </c>
      <c r="J38" s="38">
        <v>1</v>
      </c>
      <c r="N38" s="16"/>
      <c r="O38" s="16"/>
      <c r="P38" s="16"/>
      <c r="Q38" s="16"/>
      <c r="R38" s="16"/>
    </row>
    <row r="39" spans="1:18" x14ac:dyDescent="0.25">
      <c r="A39" s="30" t="s">
        <v>116</v>
      </c>
      <c r="B39" s="31" t="s">
        <v>118</v>
      </c>
      <c r="C39" s="31" t="s">
        <v>186</v>
      </c>
      <c r="D39" s="56"/>
      <c r="E39" s="56"/>
      <c r="F39" s="38">
        <v>9.6</v>
      </c>
      <c r="I39" s="38">
        <v>1.44</v>
      </c>
      <c r="J39" s="38">
        <v>1.44</v>
      </c>
      <c r="N39" s="16"/>
      <c r="O39" s="16"/>
      <c r="P39" s="16"/>
      <c r="Q39" s="16"/>
      <c r="R39" s="16"/>
    </row>
    <row r="40" spans="1:18" x14ac:dyDescent="0.25">
      <c r="A40" s="30" t="s">
        <v>116</v>
      </c>
      <c r="B40" s="31" t="s">
        <v>118</v>
      </c>
      <c r="C40" s="31" t="s">
        <v>187</v>
      </c>
      <c r="D40" s="56">
        <v>-999</v>
      </c>
      <c r="E40" s="56">
        <v>-999</v>
      </c>
      <c r="F40" s="37">
        <v>17.600000000000001</v>
      </c>
      <c r="I40" s="38">
        <v>8.4499999999999993</v>
      </c>
      <c r="J40" s="38">
        <v>8.4499999999999993</v>
      </c>
      <c r="K40" s="16">
        <v>-999</v>
      </c>
      <c r="L40" s="16">
        <v>-999</v>
      </c>
      <c r="M40" s="16">
        <v>-999</v>
      </c>
      <c r="N40" s="16">
        <v>-999</v>
      </c>
      <c r="O40" s="16">
        <v>-999</v>
      </c>
      <c r="P40" s="16">
        <v>-999</v>
      </c>
      <c r="Q40" s="16">
        <v>-999</v>
      </c>
      <c r="R40" s="16">
        <v>-999</v>
      </c>
    </row>
    <row r="41" spans="1:18" x14ac:dyDescent="0.25">
      <c r="A41" s="30" t="s">
        <v>120</v>
      </c>
      <c r="B41" s="31" t="s">
        <v>121</v>
      </c>
      <c r="C41" s="31"/>
      <c r="D41" s="56">
        <v>-999</v>
      </c>
      <c r="E41" s="56">
        <v>-999</v>
      </c>
      <c r="F41" s="37">
        <v>10</v>
      </c>
      <c r="I41" s="37">
        <f>Table1[[#This Row],[2019]]*0.15</f>
        <v>1.5</v>
      </c>
      <c r="J41" s="38">
        <f>Table1[[#This Row],[2019]]*0.97</f>
        <v>9.6999999999999993</v>
      </c>
      <c r="K41" s="16">
        <v>-999</v>
      </c>
      <c r="L41" s="16">
        <v>-999</v>
      </c>
      <c r="M41" s="16">
        <v>-999</v>
      </c>
      <c r="N41" s="16">
        <v>-999</v>
      </c>
      <c r="O41" s="16">
        <v>-999</v>
      </c>
      <c r="P41" s="16">
        <v>-999</v>
      </c>
      <c r="Q41" s="16">
        <v>-999</v>
      </c>
      <c r="R41" s="16">
        <v>-999</v>
      </c>
    </row>
    <row r="42" spans="1:18" x14ac:dyDescent="0.25">
      <c r="A42" s="30" t="s">
        <v>122</v>
      </c>
      <c r="B42" s="31" t="s">
        <v>123</v>
      </c>
      <c r="C42" s="31"/>
      <c r="D42" s="56">
        <v>-999</v>
      </c>
      <c r="E42" s="56">
        <v>-999</v>
      </c>
      <c r="F42" s="37">
        <v>12</v>
      </c>
      <c r="I42" s="37">
        <f>Table1[[#This Row],[2019]]*0.15</f>
        <v>1.7999999999999998</v>
      </c>
      <c r="J42" s="38">
        <f>Table1[[#This Row],[2019]]*0.97</f>
        <v>11.64</v>
      </c>
      <c r="K42" s="16">
        <v>-999</v>
      </c>
      <c r="L42" s="16">
        <v>-999</v>
      </c>
      <c r="M42" s="16">
        <v>-999</v>
      </c>
      <c r="N42" s="16">
        <v>-999</v>
      </c>
      <c r="O42" s="16">
        <v>-999</v>
      </c>
      <c r="P42" s="16">
        <v>-999</v>
      </c>
      <c r="Q42" s="16">
        <v>-999</v>
      </c>
      <c r="R42" s="16">
        <v>-999</v>
      </c>
    </row>
    <row r="43" spans="1:18" x14ac:dyDescent="0.25">
      <c r="A43" s="30" t="s">
        <v>124</v>
      </c>
      <c r="B43" s="31" t="s">
        <v>126</v>
      </c>
      <c r="C43" s="31"/>
      <c r="D43" s="56">
        <v>-999</v>
      </c>
      <c r="E43" s="56">
        <v>-999</v>
      </c>
      <c r="F43" s="38">
        <v>7.0000000000000007E-2</v>
      </c>
      <c r="I43" s="39">
        <f>Table1[[#This Row],[2019]]*0.6</f>
        <v>4.2000000000000003E-2</v>
      </c>
      <c r="J43" s="39">
        <f>Table1[[#This Row],[2019]]*0.93</f>
        <v>6.5100000000000005E-2</v>
      </c>
      <c r="K43" s="16">
        <v>-999</v>
      </c>
      <c r="L43" s="16">
        <v>-999</v>
      </c>
      <c r="M43" s="16">
        <v>-999</v>
      </c>
      <c r="N43" s="16">
        <v>-999</v>
      </c>
      <c r="O43" s="16">
        <v>-999</v>
      </c>
      <c r="P43" s="16">
        <v>-999</v>
      </c>
      <c r="Q43" s="16">
        <v>-999</v>
      </c>
      <c r="R43" s="16">
        <v>-999</v>
      </c>
    </row>
    <row r="44" spans="1:18" x14ac:dyDescent="0.25">
      <c r="A44" s="30" t="s">
        <v>125</v>
      </c>
      <c r="B44" s="31" t="s">
        <v>127</v>
      </c>
      <c r="C44" s="31"/>
      <c r="D44" s="56">
        <v>-999</v>
      </c>
      <c r="E44" s="56">
        <v>-999</v>
      </c>
      <c r="F44" s="37">
        <v>0.1</v>
      </c>
      <c r="I44" s="39">
        <f>Table1[[#This Row],[2019]]*0.6</f>
        <v>0.06</v>
      </c>
      <c r="J44" s="39">
        <f>Table1[[#This Row],[2019]]*0.93</f>
        <v>9.3000000000000013E-2</v>
      </c>
      <c r="K44" s="16">
        <v>-999</v>
      </c>
      <c r="L44" s="16">
        <v>-999</v>
      </c>
      <c r="M44" s="16">
        <v>-999</v>
      </c>
      <c r="N44" s="16">
        <v>-999</v>
      </c>
      <c r="O44" s="16">
        <v>-999</v>
      </c>
      <c r="P44" s="16">
        <v>-999</v>
      </c>
      <c r="Q44" s="16">
        <v>-999</v>
      </c>
      <c r="R44" s="16">
        <v>-999</v>
      </c>
    </row>
    <row r="45" spans="1:18" x14ac:dyDescent="0.25">
      <c r="A45" s="30" t="s">
        <v>100</v>
      </c>
      <c r="B45" s="1" t="s">
        <v>52</v>
      </c>
      <c r="C45" s="1"/>
      <c r="D45" s="56">
        <v>-999</v>
      </c>
      <c r="E45" s="56">
        <v>-999</v>
      </c>
      <c r="F45" s="16">
        <v>256</v>
      </c>
      <c r="I45" s="16">
        <v>0</v>
      </c>
      <c r="J45" s="16">
        <v>90</v>
      </c>
      <c r="K45" s="16">
        <v>-999</v>
      </c>
      <c r="L45" s="16">
        <v>-999</v>
      </c>
      <c r="M45" s="16">
        <v>-999</v>
      </c>
      <c r="N45" s="16">
        <v>-999</v>
      </c>
      <c r="O45" s="16">
        <v>-999</v>
      </c>
      <c r="P45" s="16">
        <v>-999</v>
      </c>
      <c r="Q45" s="16">
        <v>-999</v>
      </c>
      <c r="R45" s="16">
        <v>-999</v>
      </c>
    </row>
    <row r="46" spans="1:18" x14ac:dyDescent="0.25">
      <c r="A46" s="30" t="s">
        <v>101</v>
      </c>
      <c r="B46" s="1" t="s">
        <v>53</v>
      </c>
      <c r="C46" s="1"/>
      <c r="D46" s="56">
        <v>-999</v>
      </c>
      <c r="E46" s="56">
        <v>-999</v>
      </c>
      <c r="F46" s="16">
        <v>178</v>
      </c>
      <c r="I46" s="16">
        <v>0</v>
      </c>
      <c r="J46" s="16">
        <v>40</v>
      </c>
      <c r="K46" s="16">
        <v>-999</v>
      </c>
      <c r="L46" s="16">
        <v>-999</v>
      </c>
      <c r="M46" s="16">
        <v>-999</v>
      </c>
      <c r="N46" s="16">
        <v>-999</v>
      </c>
      <c r="O46" s="16">
        <v>-999</v>
      </c>
      <c r="P46" s="16">
        <v>-999</v>
      </c>
      <c r="Q46" s="16">
        <v>-999</v>
      </c>
      <c r="R46" s="16">
        <v>-999</v>
      </c>
    </row>
    <row r="47" spans="1:18" x14ac:dyDescent="0.25">
      <c r="A47" s="30" t="s">
        <v>102</v>
      </c>
      <c r="B47" s="1" t="s">
        <v>129</v>
      </c>
      <c r="C47" s="1"/>
      <c r="D47" s="56">
        <v>-999</v>
      </c>
      <c r="E47" s="56">
        <v>-999</v>
      </c>
      <c r="F47" s="37">
        <v>104.5</v>
      </c>
      <c r="I47" s="16">
        <v>0</v>
      </c>
      <c r="J47" s="16">
        <v>35</v>
      </c>
      <c r="K47" s="16">
        <v>-999</v>
      </c>
      <c r="L47" s="16">
        <v>-999</v>
      </c>
      <c r="M47" s="16">
        <v>-999</v>
      </c>
      <c r="N47" s="16">
        <v>-999</v>
      </c>
      <c r="O47" s="16">
        <v>-999</v>
      </c>
      <c r="P47" s="16">
        <v>-999</v>
      </c>
      <c r="Q47" s="16">
        <v>-999</v>
      </c>
      <c r="R47" s="16">
        <v>-999</v>
      </c>
    </row>
    <row r="48" spans="1:18" x14ac:dyDescent="0.25">
      <c r="A48" s="30" t="s">
        <v>128</v>
      </c>
      <c r="B48" s="1" t="s">
        <v>130</v>
      </c>
      <c r="C48" s="1"/>
      <c r="D48" s="56">
        <v>-999</v>
      </c>
      <c r="E48" s="56">
        <v>-999</v>
      </c>
      <c r="F48" s="16">
        <v>211</v>
      </c>
      <c r="I48" s="16">
        <v>0</v>
      </c>
      <c r="J48" s="16">
        <v>63</v>
      </c>
      <c r="K48" s="16">
        <v>-999</v>
      </c>
      <c r="L48" s="16">
        <v>-999</v>
      </c>
      <c r="M48" s="16">
        <v>-999</v>
      </c>
      <c r="N48" s="16">
        <v>-999</v>
      </c>
      <c r="O48" s="16">
        <v>-999</v>
      </c>
      <c r="P48" s="16">
        <v>-999</v>
      </c>
      <c r="Q48" s="16">
        <v>-999</v>
      </c>
      <c r="R48" s="16">
        <v>-999</v>
      </c>
    </row>
    <row r="49" spans="1:18" x14ac:dyDescent="0.25">
      <c r="A49" s="30" t="s">
        <v>117</v>
      </c>
      <c r="B49" s="31" t="s">
        <v>119</v>
      </c>
      <c r="C49" s="31" t="s">
        <v>186</v>
      </c>
      <c r="D49" s="56">
        <v>-999</v>
      </c>
      <c r="E49" s="56">
        <v>-999</v>
      </c>
      <c r="F49" s="39">
        <v>7.0999999999999994E-2</v>
      </c>
      <c r="I49" s="38">
        <v>0.04</v>
      </c>
      <c r="J49" s="38">
        <v>0.04</v>
      </c>
      <c r="N49" s="16"/>
      <c r="O49" s="16"/>
      <c r="P49" s="16"/>
      <c r="Q49" s="16"/>
      <c r="R49" s="16"/>
    </row>
    <row r="50" spans="1:18" x14ac:dyDescent="0.25">
      <c r="A50" s="30" t="s">
        <v>117</v>
      </c>
      <c r="B50" s="31" t="s">
        <v>119</v>
      </c>
      <c r="C50" s="31" t="s">
        <v>187</v>
      </c>
      <c r="D50" s="56">
        <v>-999</v>
      </c>
      <c r="E50" s="56">
        <v>-999</v>
      </c>
      <c r="F50" s="39">
        <v>0.193</v>
      </c>
      <c r="I50" s="38">
        <v>0.13</v>
      </c>
      <c r="J50" s="38">
        <v>0.13</v>
      </c>
      <c r="K50" s="16">
        <v>-999</v>
      </c>
      <c r="L50" s="16">
        <v>-999</v>
      </c>
      <c r="M50" s="16">
        <v>-999</v>
      </c>
      <c r="N50" s="16">
        <v>-999</v>
      </c>
      <c r="O50" s="16">
        <v>-999</v>
      </c>
      <c r="P50" s="16">
        <v>-999</v>
      </c>
      <c r="Q50" s="16">
        <v>-999</v>
      </c>
      <c r="R50" s="16">
        <v>-999</v>
      </c>
    </row>
    <row r="51" spans="1:18" x14ac:dyDescent="0.25">
      <c r="A51" s="30" t="s">
        <v>103</v>
      </c>
      <c r="B51" s="1" t="s">
        <v>54</v>
      </c>
      <c r="C51" s="1"/>
      <c r="D51" s="56">
        <v>-999</v>
      </c>
      <c r="E51" s="56">
        <v>-999</v>
      </c>
      <c r="F51" s="37">
        <v>2.2000000000000002</v>
      </c>
      <c r="I51" s="37">
        <v>0.3</v>
      </c>
      <c r="J51" s="37">
        <v>1</v>
      </c>
      <c r="K51" s="16">
        <v>-999</v>
      </c>
      <c r="L51" s="16">
        <v>-999</v>
      </c>
      <c r="M51" s="16">
        <v>-999</v>
      </c>
      <c r="N51" s="16">
        <v>-999</v>
      </c>
      <c r="O51" s="16">
        <v>-999</v>
      </c>
      <c r="P51" s="16">
        <v>-999</v>
      </c>
      <c r="Q51" s="16">
        <v>-999</v>
      </c>
      <c r="R51" s="16">
        <v>-999</v>
      </c>
    </row>
    <row r="52" spans="1:18" x14ac:dyDescent="0.25">
      <c r="A52" s="30" t="s">
        <v>104</v>
      </c>
      <c r="B52" s="1" t="s">
        <v>55</v>
      </c>
      <c r="C52" s="1"/>
      <c r="D52" s="56">
        <v>-999</v>
      </c>
      <c r="E52" s="56">
        <v>-999</v>
      </c>
      <c r="F52" s="37">
        <v>1.8</v>
      </c>
      <c r="I52" s="37">
        <v>0.25</v>
      </c>
      <c r="J52" s="37">
        <v>0.7</v>
      </c>
      <c r="K52" s="16">
        <v>-999</v>
      </c>
      <c r="L52" s="16">
        <v>-999</v>
      </c>
      <c r="M52" s="16">
        <v>-999</v>
      </c>
      <c r="N52" s="16">
        <v>-999</v>
      </c>
      <c r="O52" s="16">
        <v>-999</v>
      </c>
      <c r="P52" s="16">
        <v>-999</v>
      </c>
      <c r="Q52" s="16">
        <v>-999</v>
      </c>
      <c r="R52" s="16">
        <v>-999</v>
      </c>
    </row>
    <row r="53" spans="1:18" x14ac:dyDescent="0.25">
      <c r="A53" s="30" t="s">
        <v>105</v>
      </c>
      <c r="B53" s="1" t="s">
        <v>99</v>
      </c>
      <c r="C53" s="1"/>
      <c r="D53" s="56">
        <v>-999</v>
      </c>
      <c r="E53" s="56">
        <v>-999</v>
      </c>
      <c r="F53" s="37">
        <v>0.8</v>
      </c>
      <c r="I53" s="38">
        <v>0.25</v>
      </c>
      <c r="J53" s="38">
        <v>0.8</v>
      </c>
      <c r="K53" s="16">
        <v>-999</v>
      </c>
      <c r="L53" s="16">
        <v>-999</v>
      </c>
      <c r="M53" s="16">
        <v>-999</v>
      </c>
      <c r="N53" s="16">
        <v>-999</v>
      </c>
      <c r="O53" s="16">
        <v>-999</v>
      </c>
      <c r="P53" s="16">
        <v>-999</v>
      </c>
      <c r="Q53" s="16">
        <v>-999</v>
      </c>
      <c r="R53" s="16">
        <v>-999</v>
      </c>
    </row>
    <row r="54" spans="1:18" x14ac:dyDescent="0.25">
      <c r="A54" s="30" t="s">
        <v>132</v>
      </c>
      <c r="B54" s="1" t="s">
        <v>131</v>
      </c>
      <c r="C54" s="1"/>
      <c r="D54" s="56">
        <v>-999</v>
      </c>
      <c r="E54" s="56">
        <v>-999</v>
      </c>
      <c r="F54" s="37">
        <v>2.82</v>
      </c>
      <c r="I54" s="37">
        <v>0.5</v>
      </c>
      <c r="J54" s="37">
        <v>2.5</v>
      </c>
      <c r="K54" s="16">
        <v>-999</v>
      </c>
      <c r="L54" s="16">
        <v>-999</v>
      </c>
      <c r="M54" s="16">
        <v>-999</v>
      </c>
      <c r="N54" s="16">
        <v>-999</v>
      </c>
      <c r="O54" s="16">
        <v>-999</v>
      </c>
      <c r="P54" s="16">
        <v>-999</v>
      </c>
      <c r="Q54" s="16">
        <v>-999</v>
      </c>
      <c r="R54" s="16">
        <v>-999</v>
      </c>
    </row>
    <row r="55" spans="1:18" x14ac:dyDescent="0.25">
      <c r="A55" s="30" t="s">
        <v>108</v>
      </c>
      <c r="B55" s="1" t="s">
        <v>112</v>
      </c>
      <c r="C55" s="1"/>
      <c r="D55" s="56">
        <v>-999</v>
      </c>
      <c r="E55" s="56">
        <v>-999</v>
      </c>
      <c r="F55" s="16">
        <v>45</v>
      </c>
      <c r="I55" s="16">
        <v>22</v>
      </c>
      <c r="J55" s="16">
        <v>26</v>
      </c>
      <c r="K55" s="16">
        <v>-999</v>
      </c>
      <c r="L55" s="16">
        <v>-999</v>
      </c>
      <c r="M55" s="16">
        <v>-999</v>
      </c>
      <c r="N55" s="16">
        <v>-999</v>
      </c>
      <c r="O55" s="16">
        <v>-999</v>
      </c>
      <c r="P55" s="16">
        <v>-999</v>
      </c>
      <c r="Q55" s="16">
        <v>-999</v>
      </c>
      <c r="R55" s="16">
        <v>-999</v>
      </c>
    </row>
    <row r="56" spans="1:18" x14ac:dyDescent="0.25">
      <c r="A56" s="30" t="s">
        <v>109</v>
      </c>
      <c r="B56" s="1" t="s">
        <v>113</v>
      </c>
      <c r="C56" s="1"/>
      <c r="D56" s="56">
        <v>-999</v>
      </c>
      <c r="E56" s="56">
        <v>-999</v>
      </c>
      <c r="F56" s="16">
        <v>28</v>
      </c>
      <c r="I56" s="16">
        <v>13</v>
      </c>
      <c r="J56" s="16">
        <v>16</v>
      </c>
      <c r="K56" s="16">
        <v>-999</v>
      </c>
      <c r="L56" s="16">
        <v>-999</v>
      </c>
      <c r="M56" s="16">
        <v>-999</v>
      </c>
      <c r="N56" s="16">
        <v>-999</v>
      </c>
      <c r="O56" s="16">
        <v>-999</v>
      </c>
      <c r="P56" s="16">
        <v>-999</v>
      </c>
      <c r="Q56" s="16">
        <v>-999</v>
      </c>
      <c r="R56" s="16">
        <v>-999</v>
      </c>
    </row>
    <row r="57" spans="1:18" x14ac:dyDescent="0.25">
      <c r="A57" s="30" t="s">
        <v>110</v>
      </c>
      <c r="B57" s="1" t="s">
        <v>114</v>
      </c>
      <c r="C57" s="1"/>
      <c r="D57" s="56">
        <v>-999</v>
      </c>
      <c r="E57" s="56">
        <v>-999</v>
      </c>
      <c r="F57" s="39">
        <v>0.33300000000000002</v>
      </c>
      <c r="I57" s="39">
        <v>0.22977</v>
      </c>
      <c r="J57" s="39">
        <v>0.27639000000000002</v>
      </c>
      <c r="K57" s="16">
        <v>-999</v>
      </c>
      <c r="L57" s="16">
        <v>-999</v>
      </c>
      <c r="M57" s="16">
        <v>-999</v>
      </c>
      <c r="N57" s="16">
        <v>-999</v>
      </c>
      <c r="O57" s="16">
        <v>-999</v>
      </c>
      <c r="P57" s="16">
        <v>-999</v>
      </c>
      <c r="Q57" s="16">
        <v>-999</v>
      </c>
      <c r="R57" s="16">
        <v>-999</v>
      </c>
    </row>
    <row r="58" spans="1:18" x14ac:dyDescent="0.25">
      <c r="A58" s="43" t="s">
        <v>111</v>
      </c>
      <c r="B58" s="44" t="s">
        <v>115</v>
      </c>
      <c r="C58" s="42"/>
      <c r="D58" s="56">
        <v>-999</v>
      </c>
      <c r="E58" s="56">
        <v>-999</v>
      </c>
      <c r="F58" s="50">
        <v>0.23</v>
      </c>
      <c r="G58" s="48"/>
      <c r="H58" s="48"/>
      <c r="I58" s="51">
        <v>0.19089999999999999</v>
      </c>
      <c r="J58" s="51">
        <v>0.15870000000000001</v>
      </c>
      <c r="K58" s="16">
        <v>-999</v>
      </c>
      <c r="L58" s="16">
        <v>-999</v>
      </c>
      <c r="M58" s="16">
        <v>-999</v>
      </c>
      <c r="N58" s="16">
        <v>-999</v>
      </c>
      <c r="O58" s="16">
        <v>-999</v>
      </c>
      <c r="P58" s="16">
        <v>-999</v>
      </c>
      <c r="Q58" s="16">
        <v>-999</v>
      </c>
      <c r="R58" s="16">
        <v>-999</v>
      </c>
    </row>
    <row r="59" spans="1:18" x14ac:dyDescent="0.25">
      <c r="A59" s="40" t="s">
        <v>71</v>
      </c>
      <c r="B59" s="41" t="s">
        <v>58</v>
      </c>
      <c r="C59" s="41"/>
      <c r="D59" s="56">
        <v>-999</v>
      </c>
      <c r="E59" s="56">
        <v>-999</v>
      </c>
      <c r="F59" s="47">
        <v>87</v>
      </c>
      <c r="G59" s="47"/>
      <c r="H59" s="47"/>
      <c r="I59" s="47">
        <v>70</v>
      </c>
      <c r="J59" s="47">
        <v>95</v>
      </c>
      <c r="K59" s="16">
        <v>-999</v>
      </c>
      <c r="L59" s="16">
        <v>-999</v>
      </c>
      <c r="M59" s="16">
        <v>-999</v>
      </c>
      <c r="N59" s="16">
        <v>-999</v>
      </c>
      <c r="O59" s="16">
        <v>-999</v>
      </c>
      <c r="P59" s="16">
        <v>-999</v>
      </c>
      <c r="Q59" s="16">
        <v>-999</v>
      </c>
      <c r="R59" s="16">
        <v>-999</v>
      </c>
    </row>
    <row r="60" spans="1:18" x14ac:dyDescent="0.25">
      <c r="A60" s="40" t="s">
        <v>72</v>
      </c>
      <c r="B60" s="42" t="s">
        <v>59</v>
      </c>
      <c r="C60" s="42"/>
      <c r="D60" s="56">
        <v>-999</v>
      </c>
      <c r="E60" s="56">
        <v>-999</v>
      </c>
      <c r="F60" s="47">
        <v>13</v>
      </c>
      <c r="G60" s="47"/>
      <c r="H60" s="47"/>
      <c r="I60" s="47" t="s">
        <v>139</v>
      </c>
      <c r="J60" s="47" t="s">
        <v>139</v>
      </c>
      <c r="K60" s="16">
        <v>-999</v>
      </c>
      <c r="L60" s="16">
        <v>-999</v>
      </c>
      <c r="M60" s="16">
        <v>-999</v>
      </c>
      <c r="N60" s="16">
        <v>-999</v>
      </c>
      <c r="O60" s="16">
        <v>-999</v>
      </c>
      <c r="P60" s="16">
        <v>-999</v>
      </c>
      <c r="Q60" s="16">
        <v>-999</v>
      </c>
      <c r="R60" s="16">
        <v>-999</v>
      </c>
    </row>
    <row r="61" spans="1:18" x14ac:dyDescent="0.25">
      <c r="A61" s="43" t="s">
        <v>73</v>
      </c>
      <c r="B61" s="44" t="s">
        <v>60</v>
      </c>
      <c r="C61" s="42"/>
      <c r="D61" s="56">
        <v>-999</v>
      </c>
      <c r="E61" s="56">
        <v>-999</v>
      </c>
      <c r="F61" s="48">
        <v>-999</v>
      </c>
      <c r="G61" s="48"/>
      <c r="H61" s="48"/>
      <c r="I61" s="48">
        <v>-999</v>
      </c>
      <c r="J61" s="48">
        <v>-999</v>
      </c>
      <c r="K61" s="16">
        <v>-999</v>
      </c>
      <c r="L61" s="16">
        <v>-999</v>
      </c>
      <c r="M61" s="16">
        <v>-999</v>
      </c>
      <c r="N61" s="16">
        <v>-999</v>
      </c>
      <c r="O61" s="16">
        <v>-999</v>
      </c>
      <c r="P61" s="16">
        <v>-999</v>
      </c>
      <c r="Q61" s="16">
        <v>-999</v>
      </c>
      <c r="R61" s="16">
        <v>-999</v>
      </c>
    </row>
    <row r="62" spans="1:18" x14ac:dyDescent="0.25">
      <c r="A62" s="45" t="s">
        <v>84</v>
      </c>
      <c r="B62" s="46" t="s">
        <v>61</v>
      </c>
      <c r="C62" s="42"/>
      <c r="D62" s="56">
        <v>-999</v>
      </c>
      <c r="E62" s="56">
        <v>-999</v>
      </c>
      <c r="F62" s="49">
        <v>-999</v>
      </c>
      <c r="G62" s="49"/>
      <c r="H62" s="49"/>
      <c r="I62" s="52">
        <v>12</v>
      </c>
      <c r="J62" s="52">
        <v>88</v>
      </c>
      <c r="K62" s="16">
        <v>-999</v>
      </c>
      <c r="L62" s="16">
        <v>-999</v>
      </c>
      <c r="M62" s="16">
        <v>-999</v>
      </c>
      <c r="N62" s="16">
        <v>-999</v>
      </c>
      <c r="O62" s="16">
        <v>-999</v>
      </c>
      <c r="P62" s="16">
        <v>-999</v>
      </c>
      <c r="Q62" s="16">
        <v>-999</v>
      </c>
      <c r="R62" s="16">
        <v>-999</v>
      </c>
    </row>
    <row r="63" spans="1:18" x14ac:dyDescent="0.25">
      <c r="A63" s="40" t="s">
        <v>75</v>
      </c>
      <c r="B63" s="42" t="s">
        <v>62</v>
      </c>
      <c r="C63" s="42"/>
      <c r="D63" s="56">
        <v>-999</v>
      </c>
      <c r="E63" s="56">
        <v>-999</v>
      </c>
      <c r="F63" s="47">
        <v>100</v>
      </c>
      <c r="G63" s="47"/>
      <c r="H63" s="47"/>
      <c r="I63" s="53">
        <v>27</v>
      </c>
      <c r="J63" s="53">
        <v>88</v>
      </c>
      <c r="K63" s="16">
        <v>-999</v>
      </c>
      <c r="L63" s="16">
        <v>-999</v>
      </c>
      <c r="M63" s="16">
        <v>-999</v>
      </c>
      <c r="N63" s="16">
        <v>-999</v>
      </c>
      <c r="O63" s="16">
        <v>-999</v>
      </c>
      <c r="P63" s="16">
        <v>-999</v>
      </c>
      <c r="Q63" s="16">
        <v>-999</v>
      </c>
      <c r="R63" s="16">
        <v>-999</v>
      </c>
    </row>
    <row r="64" spans="1:18" x14ac:dyDescent="0.25">
      <c r="A64" s="43" t="s">
        <v>76</v>
      </c>
      <c r="B64" s="44" t="s">
        <v>63</v>
      </c>
      <c r="C64" s="42"/>
      <c r="D64" s="56">
        <v>-999</v>
      </c>
      <c r="E64" s="56">
        <v>-999</v>
      </c>
      <c r="F64" s="48">
        <v>-999</v>
      </c>
      <c r="G64" s="48"/>
      <c r="H64" s="48"/>
      <c r="I64" s="54">
        <v>-999</v>
      </c>
      <c r="J64" s="54">
        <v>-999</v>
      </c>
      <c r="K64" s="16">
        <v>-999</v>
      </c>
      <c r="L64" s="16">
        <v>-999</v>
      </c>
      <c r="M64" s="16">
        <v>-999</v>
      </c>
      <c r="N64" s="16">
        <v>-999</v>
      </c>
      <c r="O64" s="16">
        <v>-999</v>
      </c>
      <c r="P64" s="16">
        <v>-999</v>
      </c>
      <c r="Q64" s="16">
        <v>-999</v>
      </c>
      <c r="R64" s="16">
        <v>-999</v>
      </c>
    </row>
    <row r="65" spans="1:18" x14ac:dyDescent="0.25">
      <c r="A65" s="45" t="s">
        <v>77</v>
      </c>
      <c r="B65" s="46" t="s">
        <v>64</v>
      </c>
      <c r="C65" s="42"/>
      <c r="D65" s="56">
        <v>-999</v>
      </c>
      <c r="E65" s="56">
        <v>-999</v>
      </c>
      <c r="F65" s="49">
        <v>-999</v>
      </c>
      <c r="G65" s="49"/>
      <c r="H65" s="49"/>
      <c r="I65" s="52">
        <v>25</v>
      </c>
      <c r="J65" s="52">
        <v>60</v>
      </c>
      <c r="K65" s="16">
        <v>-999</v>
      </c>
      <c r="L65" s="16">
        <v>-999</v>
      </c>
      <c r="M65" s="16">
        <v>-999</v>
      </c>
      <c r="N65" s="16">
        <v>-999</v>
      </c>
      <c r="O65" s="16">
        <v>-999</v>
      </c>
      <c r="P65" s="16">
        <v>-999</v>
      </c>
      <c r="Q65" s="16">
        <v>-999</v>
      </c>
      <c r="R65" s="16">
        <v>-999</v>
      </c>
    </row>
    <row r="66" spans="1:18" x14ac:dyDescent="0.25">
      <c r="A66" s="40" t="s">
        <v>78</v>
      </c>
      <c r="B66" s="42" t="s">
        <v>65</v>
      </c>
      <c r="C66" s="42"/>
      <c r="D66" s="56">
        <v>-999</v>
      </c>
      <c r="E66" s="56">
        <v>-999</v>
      </c>
      <c r="F66" s="47">
        <v>100</v>
      </c>
      <c r="G66" s="47"/>
      <c r="H66" s="47"/>
      <c r="I66" s="53">
        <v>20</v>
      </c>
      <c r="J66" s="53">
        <v>75</v>
      </c>
      <c r="K66" s="16">
        <v>-999</v>
      </c>
      <c r="L66" s="16">
        <v>-999</v>
      </c>
      <c r="M66" s="16">
        <v>-999</v>
      </c>
      <c r="N66" s="16">
        <v>-999</v>
      </c>
      <c r="O66" s="16">
        <v>-999</v>
      </c>
      <c r="P66" s="16">
        <v>-999</v>
      </c>
      <c r="Q66" s="16">
        <v>-999</v>
      </c>
      <c r="R66" s="16">
        <v>-999</v>
      </c>
    </row>
    <row r="67" spans="1:18" x14ac:dyDescent="0.25">
      <c r="A67" s="43" t="s">
        <v>79</v>
      </c>
      <c r="B67" s="44" t="s">
        <v>66</v>
      </c>
      <c r="C67" s="42"/>
      <c r="D67" s="56">
        <v>-999</v>
      </c>
      <c r="E67" s="56">
        <v>-999</v>
      </c>
      <c r="F67" s="48">
        <v>-999</v>
      </c>
      <c r="G67" s="48"/>
      <c r="H67" s="48"/>
      <c r="I67" s="54">
        <v>-999</v>
      </c>
      <c r="J67" s="54">
        <v>20</v>
      </c>
      <c r="K67" s="16">
        <v>-999</v>
      </c>
      <c r="L67" s="16">
        <v>-999</v>
      </c>
      <c r="M67" s="16">
        <v>-999</v>
      </c>
      <c r="N67" s="16">
        <v>-999</v>
      </c>
      <c r="O67" s="16">
        <v>-999</v>
      </c>
      <c r="P67" s="16">
        <v>-999</v>
      </c>
      <c r="Q67" s="16">
        <v>-999</v>
      </c>
      <c r="R67" s="16">
        <v>-999</v>
      </c>
    </row>
    <row r="68" spans="1:18" x14ac:dyDescent="0.25">
      <c r="A68" s="45" t="s">
        <v>80</v>
      </c>
      <c r="B68" s="46" t="s">
        <v>67</v>
      </c>
      <c r="C68" s="42"/>
      <c r="D68" s="56">
        <v>-999</v>
      </c>
      <c r="E68" s="56">
        <v>-999</v>
      </c>
      <c r="F68" s="49">
        <v>87</v>
      </c>
      <c r="G68" s="49"/>
      <c r="H68" s="49"/>
      <c r="I68" s="49">
        <v>70</v>
      </c>
      <c r="J68" s="49">
        <v>95</v>
      </c>
      <c r="K68" s="16">
        <v>-999</v>
      </c>
      <c r="L68" s="16">
        <v>-999</v>
      </c>
      <c r="M68" s="16">
        <v>-999</v>
      </c>
      <c r="N68" s="16">
        <v>-999</v>
      </c>
      <c r="O68" s="16">
        <v>-999</v>
      </c>
      <c r="P68" s="16">
        <v>-999</v>
      </c>
      <c r="Q68" s="16">
        <v>-999</v>
      </c>
      <c r="R68" s="16">
        <v>-999</v>
      </c>
    </row>
    <row r="69" spans="1:18" x14ac:dyDescent="0.25">
      <c r="A69" s="43" t="s">
        <v>81</v>
      </c>
      <c r="B69" s="44" t="s">
        <v>68</v>
      </c>
      <c r="C69" s="42"/>
      <c r="D69" s="56">
        <v>-999</v>
      </c>
      <c r="E69" s="56">
        <v>-999</v>
      </c>
      <c r="F69" s="48">
        <v>13</v>
      </c>
      <c r="G69" s="48"/>
      <c r="H69" s="48"/>
      <c r="I69" s="48" t="s">
        <v>139</v>
      </c>
      <c r="J69" s="48" t="s">
        <v>139</v>
      </c>
      <c r="K69" s="16">
        <v>-999</v>
      </c>
      <c r="L69" s="16">
        <v>-999</v>
      </c>
      <c r="M69" s="16">
        <v>-999</v>
      </c>
      <c r="N69" s="16">
        <v>-999</v>
      </c>
      <c r="O69" s="16">
        <v>-999</v>
      </c>
      <c r="P69" s="16">
        <v>-999</v>
      </c>
      <c r="Q69" s="16">
        <v>-999</v>
      </c>
      <c r="R69" s="16">
        <v>-999</v>
      </c>
    </row>
    <row r="70" spans="1:18" x14ac:dyDescent="0.25">
      <c r="A70" s="45" t="s">
        <v>74</v>
      </c>
      <c r="B70" s="46" t="s">
        <v>61</v>
      </c>
      <c r="C70" s="42"/>
      <c r="D70" s="56">
        <v>-999</v>
      </c>
      <c r="E70" s="56">
        <v>-999</v>
      </c>
      <c r="F70" s="49">
        <v>4</v>
      </c>
      <c r="G70" s="49"/>
      <c r="H70" s="49"/>
      <c r="I70" s="49">
        <v>65</v>
      </c>
      <c r="J70" s="49">
        <v>96</v>
      </c>
      <c r="K70" s="16">
        <v>-999</v>
      </c>
      <c r="L70" s="16">
        <v>-999</v>
      </c>
      <c r="M70" s="16">
        <v>-999</v>
      </c>
      <c r="N70" s="16">
        <v>-999</v>
      </c>
      <c r="O70" s="16">
        <v>-999</v>
      </c>
      <c r="P70" s="16">
        <v>-999</v>
      </c>
      <c r="Q70" s="16">
        <v>-999</v>
      </c>
      <c r="R70" s="16">
        <v>-999</v>
      </c>
    </row>
    <row r="71" spans="1:18" x14ac:dyDescent="0.25">
      <c r="A71" s="40" t="s">
        <v>82</v>
      </c>
      <c r="B71" s="42" t="s">
        <v>69</v>
      </c>
      <c r="C71" s="42"/>
      <c r="D71" s="56">
        <v>-999</v>
      </c>
      <c r="E71" s="56">
        <v>-999</v>
      </c>
      <c r="F71" s="47">
        <v>-999</v>
      </c>
      <c r="G71" s="47"/>
      <c r="H71" s="47"/>
      <c r="I71" s="47">
        <v>-999</v>
      </c>
      <c r="J71" s="47">
        <v>-999</v>
      </c>
      <c r="K71" s="16">
        <v>-999</v>
      </c>
      <c r="L71" s="16">
        <v>-999</v>
      </c>
      <c r="M71" s="16">
        <v>-999</v>
      </c>
      <c r="N71" s="16">
        <v>-999</v>
      </c>
      <c r="O71" s="16">
        <v>-999</v>
      </c>
      <c r="P71" s="16">
        <v>-999</v>
      </c>
      <c r="Q71" s="16">
        <v>-999</v>
      </c>
      <c r="R71" s="16">
        <v>-999</v>
      </c>
    </row>
    <row r="72" spans="1:18" x14ac:dyDescent="0.25">
      <c r="A72" s="40" t="s">
        <v>83</v>
      </c>
      <c r="B72" s="42" t="s">
        <v>70</v>
      </c>
      <c r="C72" s="42"/>
      <c r="D72" s="56">
        <v>-999</v>
      </c>
      <c r="E72" s="56">
        <v>-999</v>
      </c>
      <c r="F72" s="47">
        <v>81</v>
      </c>
      <c r="G72" s="47"/>
      <c r="H72" s="47"/>
      <c r="I72" s="47" t="s">
        <v>139</v>
      </c>
      <c r="J72" s="47" t="s">
        <v>139</v>
      </c>
      <c r="K72" s="16">
        <v>-999</v>
      </c>
      <c r="L72" s="16">
        <v>-999</v>
      </c>
      <c r="M72" s="16">
        <v>-999</v>
      </c>
      <c r="N72" s="16">
        <v>-999</v>
      </c>
      <c r="O72" s="16">
        <v>-999</v>
      </c>
      <c r="P72" s="16">
        <v>-999</v>
      </c>
      <c r="Q72" s="16">
        <v>-999</v>
      </c>
      <c r="R72" s="16">
        <v>-999</v>
      </c>
    </row>
    <row r="73" spans="1:18" x14ac:dyDescent="0.25">
      <c r="A73" s="43" t="s">
        <v>106</v>
      </c>
      <c r="B73" s="44" t="s">
        <v>107</v>
      </c>
      <c r="C73" s="42"/>
      <c r="D73" s="56">
        <v>-999</v>
      </c>
      <c r="E73" s="56">
        <v>-999</v>
      </c>
      <c r="F73" s="48">
        <v>15</v>
      </c>
      <c r="G73" s="48"/>
      <c r="H73" s="48"/>
      <c r="I73" s="48">
        <v>-999</v>
      </c>
      <c r="J73" s="48">
        <v>-999</v>
      </c>
      <c r="K73" s="16">
        <v>-999</v>
      </c>
      <c r="L73" s="16">
        <v>-999</v>
      </c>
      <c r="M73" s="16">
        <v>-999</v>
      </c>
      <c r="N73" s="16">
        <v>-999</v>
      </c>
      <c r="O73" s="16">
        <v>-999</v>
      </c>
      <c r="P73" s="16">
        <v>-999</v>
      </c>
      <c r="Q73" s="16">
        <v>-999</v>
      </c>
      <c r="R73" s="16">
        <v>-999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Mooren, Sander (UT-ET)</cp:lastModifiedBy>
  <dcterms:created xsi:type="dcterms:W3CDTF">2025-07-11T14:22:24Z</dcterms:created>
  <dcterms:modified xsi:type="dcterms:W3CDTF">2026-06-17T15:42:29Z</dcterms:modified>
</cp:coreProperties>
</file>